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xr:revisionPtr revIDLastSave="0" documentId="8_{2A621AD5-3C1A-4444-A65C-0025A10BD74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tail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H510" i="1"/>
  <c r="H508" i="1"/>
  <c r="H506" i="1"/>
  <c r="H504" i="1"/>
</calcChain>
</file>

<file path=xl/sharedStrings.xml><?xml version="1.0" encoding="utf-8"?>
<sst xmlns="http://schemas.openxmlformats.org/spreadsheetml/2006/main" count="2017" uniqueCount="535">
  <si>
    <t>Order_ID</t>
  </si>
  <si>
    <t>Order_Date</t>
  </si>
  <si>
    <t>Store</t>
  </si>
  <si>
    <t>City</t>
  </si>
  <si>
    <t>Category</t>
  </si>
  <si>
    <t>Quantity</t>
  </si>
  <si>
    <t>Unit_Price</t>
  </si>
  <si>
    <t>Total_Amount</t>
  </si>
  <si>
    <t xml:space="preserve">Order_Status
</t>
  </si>
  <si>
    <t>Store_Location</t>
  </si>
  <si>
    <t xml:space="preserve">Category_Length
</t>
  </si>
  <si>
    <t xml:space="preserve">Category_First3
</t>
  </si>
  <si>
    <t xml:space="preserve">Order_ID_Part
</t>
  </si>
  <si>
    <t>City_Lower</t>
  </si>
  <si>
    <t>City_Upper</t>
  </si>
  <si>
    <t>City_Proper</t>
  </si>
  <si>
    <t>Quantity_Sqrt</t>
  </si>
  <si>
    <t>ORD1000</t>
  </si>
  <si>
    <t>ValueShop</t>
  </si>
  <si>
    <t>Bangalore</t>
  </si>
  <si>
    <t>Electronics</t>
  </si>
  <si>
    <t>ORD1001</t>
  </si>
  <si>
    <t>CityStore</t>
  </si>
  <si>
    <t>Clothing</t>
  </si>
  <si>
    <t>ORD1002</t>
  </si>
  <si>
    <t>QuickBuy</t>
  </si>
  <si>
    <t>Delhi</t>
  </si>
  <si>
    <t>Books</t>
  </si>
  <si>
    <t>ORD1003</t>
  </si>
  <si>
    <t>Kolkata</t>
  </si>
  <si>
    <t>Home &amp; Kitchen</t>
  </si>
  <si>
    <t>ORD1004</t>
  </si>
  <si>
    <t>MegaMart</t>
  </si>
  <si>
    <t>Chennai</t>
  </si>
  <si>
    <t>Toys</t>
  </si>
  <si>
    <t>ORD1005</t>
  </si>
  <si>
    <t>ORD1006</t>
  </si>
  <si>
    <t>Hyderabad</t>
  </si>
  <si>
    <t>ORD1007</t>
  </si>
  <si>
    <t>Trendz</t>
  </si>
  <si>
    <t>ORD1008</t>
  </si>
  <si>
    <t>ORD1009</t>
  </si>
  <si>
    <t>Pune</t>
  </si>
  <si>
    <t>ORD1010</t>
  </si>
  <si>
    <t>Groceries</t>
  </si>
  <si>
    <t>ORD1011</t>
  </si>
  <si>
    <t>ORD1012</t>
  </si>
  <si>
    <t>ORD1013</t>
  </si>
  <si>
    <t>ORD1014</t>
  </si>
  <si>
    <t>ORD1015</t>
  </si>
  <si>
    <t>Mumbai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</si>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</sst>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117C1-75E7-4E42-AA4A-BBBD65E68B7C}" name="Table1" displayName="Table1" ref="A1:Q503" totalsRowCount="1" headerRowDxfId="12" headerRowBorderDxfId="10" tableBorderDxfId="11">
  <autoFilter ref="A1:Q502" xr:uid="{9BB117C1-75E7-4E42-AA4A-BBBD65E68B7C}"/>
  <tableColumns count="17">
    <tableColumn id="1" xr3:uid="{AC982515-09D5-4E7A-AE50-9C08FDAD8C8D}" name="Order_ID"/>
    <tableColumn id="2" xr3:uid="{0D9278C1-17FF-4FD3-B39D-596EC29AE08E}" name="Order_Date" dataDxfId="8" totalsRowDxfId="9"/>
    <tableColumn id="3" xr3:uid="{3DBECE7C-E6A2-401B-AB21-A3740004A6B5}" name="Store"/>
    <tableColumn id="4" xr3:uid="{CD07BBF2-6FB1-4AE8-9A71-46D1B631C4EE}" name="City"/>
    <tableColumn id="5" xr3:uid="{1983E9F1-C945-4E72-9415-604DF66E42B2}" name="Category"/>
    <tableColumn id="6" xr3:uid="{638D0F99-AA3A-4D62-B5EE-820002D3C970}" name="Quantity"/>
    <tableColumn id="7" xr3:uid="{32F0BA0B-4FF4-4F52-AB99-27AE8C0EDB1C}" name="Unit_Price"/>
    <tableColumn id="8" xr3:uid="{349AAEF7-E558-4C1D-9788-BAB942B26F46}" name="Total_Amount"/>
    <tableColumn id="9" xr3:uid="{318CE93E-2623-4B6E-AECD-2C50BDDE9B73}" name="Order_Status_x000a_">
      <calculatedColumnFormula>IF(F2&gt;10,"Bulk Order","Normal Order")</calculatedColumnFormula>
    </tableColumn>
    <tableColumn id="10" xr3:uid="{0952E4FD-CE8A-4DCB-865D-04B1A5213088}" name="Store_Location" dataDxfId="7">
      <calculatedColumnFormula>_xlfn.CONCAT(C2, " - ", D2)</calculatedColumnFormula>
    </tableColumn>
    <tableColumn id="11" xr3:uid="{A0E5BC80-3725-42F7-BDEA-258982481BB6}" name="Category_Length_x000a_" dataDxfId="6">
      <calculatedColumnFormula>LEN(E2)</calculatedColumnFormula>
    </tableColumn>
    <tableColumn id="12" xr3:uid="{F934CA0F-3E16-45C5-B025-D8FC1E1804C2}" name="Category_First3_x000a_" dataDxfId="5">
      <calculatedColumnFormula>LEFT(E2, 3)</calculatedColumnFormula>
    </tableColumn>
    <tableColumn id="13" xr3:uid="{A2D49AB9-47E4-42F7-8F4E-4C17F2F51CA1}" name="Order_ID_Part_x000a_" dataDxfId="4">
      <calculatedColumnFormula>MID(A2, 2, 5)</calculatedColumnFormula>
    </tableColumn>
    <tableColumn id="14" xr3:uid="{7CF1A1BA-350E-40BB-8522-594963CA1405}" name="City_Lower" dataDxfId="3">
      <calculatedColumnFormula>LOWER(D2)</calculatedColumnFormula>
    </tableColumn>
    <tableColumn id="15" xr3:uid="{6FD1F920-4567-4101-9CC0-233CEE371422}" name="City_Upper" dataDxfId="2">
      <calculatedColumnFormula>UPPER(D2)</calculatedColumnFormula>
    </tableColumn>
    <tableColumn id="16" xr3:uid="{2071C0F3-C1A2-4EC0-BC92-3063C9AB5C8C}" name="City_Proper" dataDxfId="1">
      <calculatedColumnFormula>PROPER(D2)</calculatedColumnFormula>
    </tableColumn>
    <tableColumn id="17" xr3:uid="{2563F412-C255-4353-9ECE-B694C46AE0CB}" name="Quantity_Sqrt" dataDxfId="0">
      <calculatedColumnFormula>SQRT(F2)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tabSelected="1" topLeftCell="I1" workbookViewId="0">
      <selection activeCell="I15" sqref="I15"/>
    </sheetView>
  </sheetViews>
  <sheetFormatPr defaultRowHeight="15"/>
  <cols>
    <col min="1" max="1" width="11.28515625" bestFit="1" customWidth="1"/>
    <col min="2" max="2" width="13.5703125" bestFit="1" customWidth="1"/>
    <col min="3" max="3" width="10.140625" bestFit="1" customWidth="1"/>
    <col min="4" max="4" width="10.42578125" bestFit="1" customWidth="1"/>
    <col min="5" max="5" width="15.140625" bestFit="1" customWidth="1"/>
    <col min="6" max="6" width="11" bestFit="1" customWidth="1"/>
    <col min="7" max="7" width="12.42578125" bestFit="1" customWidth="1"/>
    <col min="8" max="8" width="32.85546875" bestFit="1" customWidth="1"/>
    <col min="9" max="9" width="17" customWidth="1"/>
    <col min="10" max="10" width="21.85546875" customWidth="1"/>
    <col min="11" max="11" width="20" customWidth="1"/>
    <col min="12" max="13" width="19.42578125" customWidth="1"/>
    <col min="14" max="14" width="15.42578125" customWidth="1"/>
    <col min="15" max="15" width="16.28515625" customWidth="1"/>
    <col min="16" max="16" width="15.7109375" customWidth="1"/>
    <col min="17" max="17" width="19.285156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1">
        <v>45619</v>
      </c>
      <c r="C2" t="s">
        <v>18</v>
      </c>
      <c r="D2" t="s">
        <v>19</v>
      </c>
      <c r="E2" t="s">
        <v>20</v>
      </c>
      <c r="F2">
        <v>10</v>
      </c>
      <c r="G2">
        <v>1061.43</v>
      </c>
      <c r="H2">
        <v>10614.3</v>
      </c>
      <c r="I2" t="str">
        <f>IF(F2&gt;10,"Bulk Order","Normal Order")</f>
        <v>Normal Order</v>
      </c>
      <c r="J2" t="str">
        <f t="shared" ref="J2:J65" si="0">_xlfn.CONCAT(C2, " - ", D2)</f>
        <v>ValueShop - Bangalore</v>
      </c>
      <c r="K2">
        <f t="shared" ref="K2:K65" si="1">LEN(E2)</f>
        <v>11</v>
      </c>
      <c r="L2" t="str">
        <f t="shared" ref="L2:L65" si="2">LEFT(E2, 3)</f>
        <v>Ele</v>
      </c>
      <c r="M2" s="3" t="str">
        <f t="shared" ref="M2:M65" si="3">MID(A2, 2, 5)</f>
        <v>RD100</v>
      </c>
      <c r="N2" s="3" t="str">
        <f>LOWER(D2)</f>
        <v>bangalore</v>
      </c>
      <c r="O2" s="3" t="str">
        <f t="shared" ref="O2:O65" si="4">UPPER(D2)</f>
        <v>BANGALORE</v>
      </c>
      <c r="P2" s="3" t="str">
        <f t="shared" ref="P2:P65" si="5">PROPER(D2)</f>
        <v>Bangalore</v>
      </c>
      <c r="Q2" s="3">
        <f t="shared" ref="Q2:Q65" si="6">SQRT(F2)</f>
        <v>3.1622776601683795</v>
      </c>
    </row>
    <row r="3" spans="1:17">
      <c r="A3" t="s">
        <v>21</v>
      </c>
      <c r="B3" s="1">
        <v>45349</v>
      </c>
      <c r="C3" t="s">
        <v>22</v>
      </c>
      <c r="D3" t="s">
        <v>19</v>
      </c>
      <c r="E3" t="s">
        <v>23</v>
      </c>
      <c r="F3">
        <v>3</v>
      </c>
      <c r="G3">
        <v>1143.73</v>
      </c>
      <c r="H3">
        <v>3431.19</v>
      </c>
      <c r="I3" t="str">
        <f t="shared" ref="I3:I66" si="7">IF(F3&gt;10,"Bulk Order","Normal Order")</f>
        <v>Normal Order</v>
      </c>
      <c r="J3" t="str">
        <f t="shared" si="0"/>
        <v>CityStore - Bangalore</v>
      </c>
      <c r="K3">
        <f t="shared" si="1"/>
        <v>8</v>
      </c>
      <c r="L3" t="str">
        <f t="shared" si="2"/>
        <v>Clo</v>
      </c>
      <c r="M3" s="3" t="str">
        <f t="shared" si="3"/>
        <v>RD100</v>
      </c>
      <c r="N3" s="3" t="str">
        <f t="shared" ref="N2:N65" si="8">LOWER(D3)</f>
        <v>bangalore</v>
      </c>
      <c r="O3" s="3" t="str">
        <f t="shared" si="4"/>
        <v>BANGALORE</v>
      </c>
      <c r="P3" s="3" t="str">
        <f t="shared" si="5"/>
        <v>Bangalore</v>
      </c>
      <c r="Q3" s="3">
        <f t="shared" si="6"/>
        <v>1.7320508075688772</v>
      </c>
    </row>
    <row r="4" spans="1:17">
      <c r="A4" t="s">
        <v>24</v>
      </c>
      <c r="B4" s="1">
        <v>45304</v>
      </c>
      <c r="C4" t="s">
        <v>25</v>
      </c>
      <c r="D4" t="s">
        <v>26</v>
      </c>
      <c r="E4" t="s">
        <v>27</v>
      </c>
      <c r="F4">
        <v>6</v>
      </c>
      <c r="G4">
        <v>1996.34</v>
      </c>
      <c r="H4">
        <v>11978.04</v>
      </c>
      <c r="I4" t="str">
        <f t="shared" si="7"/>
        <v>Normal Order</v>
      </c>
      <c r="J4" t="str">
        <f t="shared" si="0"/>
        <v>QuickBuy - Delhi</v>
      </c>
      <c r="K4">
        <f t="shared" si="1"/>
        <v>5</v>
      </c>
      <c r="L4" t="str">
        <f t="shared" si="2"/>
        <v>Boo</v>
      </c>
      <c r="M4" s="3" t="str">
        <f t="shared" si="3"/>
        <v>RD100</v>
      </c>
      <c r="N4" s="3" t="str">
        <f t="shared" si="8"/>
        <v>delhi</v>
      </c>
      <c r="O4" s="3" t="str">
        <f t="shared" si="4"/>
        <v>DELHI</v>
      </c>
      <c r="P4" s="3" t="str">
        <f t="shared" si="5"/>
        <v>Delhi</v>
      </c>
      <c r="Q4" s="3">
        <f t="shared" si="6"/>
        <v>2.4494897427831779</v>
      </c>
    </row>
    <row r="5" spans="1:17">
      <c r="A5" t="s">
        <v>28</v>
      </c>
      <c r="B5" s="1">
        <v>45432</v>
      </c>
      <c r="C5" t="s">
        <v>18</v>
      </c>
      <c r="D5" t="s">
        <v>29</v>
      </c>
      <c r="E5" t="s">
        <v>30</v>
      </c>
      <c r="F5">
        <v>9</v>
      </c>
      <c r="G5">
        <v>982.82</v>
      </c>
      <c r="H5">
        <v>8845.380000000001</v>
      </c>
      <c r="I5" t="str">
        <f t="shared" si="7"/>
        <v>Normal Order</v>
      </c>
      <c r="J5" t="str">
        <f t="shared" si="0"/>
        <v>ValueShop - Kolkata</v>
      </c>
      <c r="K5">
        <f t="shared" si="1"/>
        <v>14</v>
      </c>
      <c r="L5" t="str">
        <f t="shared" si="2"/>
        <v>Hom</v>
      </c>
      <c r="M5" s="3" t="str">
        <f t="shared" si="3"/>
        <v>RD100</v>
      </c>
      <c r="N5" s="3" t="str">
        <f t="shared" si="8"/>
        <v>kolkata</v>
      </c>
      <c r="O5" s="3" t="str">
        <f t="shared" si="4"/>
        <v>KOLKATA</v>
      </c>
      <c r="P5" s="3" t="str">
        <f t="shared" si="5"/>
        <v>Kolkata</v>
      </c>
      <c r="Q5" s="3">
        <f t="shared" si="6"/>
        <v>3</v>
      </c>
    </row>
    <row r="6" spans="1:17">
      <c r="A6" t="s">
        <v>31</v>
      </c>
      <c r="B6" s="1">
        <v>45417</v>
      </c>
      <c r="C6" t="s">
        <v>32</v>
      </c>
      <c r="D6" t="s">
        <v>33</v>
      </c>
      <c r="E6" t="s">
        <v>34</v>
      </c>
      <c r="F6">
        <v>15</v>
      </c>
      <c r="G6">
        <v>784.81</v>
      </c>
      <c r="H6">
        <v>11772.15</v>
      </c>
      <c r="I6" t="str">
        <f t="shared" si="7"/>
        <v>Bulk Order</v>
      </c>
      <c r="J6" t="str">
        <f t="shared" si="0"/>
        <v>MegaMart - Chennai</v>
      </c>
      <c r="K6">
        <f t="shared" si="1"/>
        <v>4</v>
      </c>
      <c r="L6" t="str">
        <f t="shared" si="2"/>
        <v>Toy</v>
      </c>
      <c r="M6" s="3" t="str">
        <f t="shared" si="3"/>
        <v>RD100</v>
      </c>
      <c r="N6" s="3" t="str">
        <f t="shared" si="8"/>
        <v>chennai</v>
      </c>
      <c r="O6" s="3" t="str">
        <f t="shared" si="4"/>
        <v>CHENNAI</v>
      </c>
      <c r="P6" s="3" t="str">
        <f t="shared" si="5"/>
        <v>Chennai</v>
      </c>
      <c r="Q6" s="3">
        <f t="shared" si="6"/>
        <v>3.872983346207417</v>
      </c>
    </row>
    <row r="7" spans="1:17">
      <c r="A7" t="s">
        <v>35</v>
      </c>
      <c r="B7" s="1">
        <v>45406</v>
      </c>
      <c r="C7" t="s">
        <v>32</v>
      </c>
      <c r="D7" t="s">
        <v>29</v>
      </c>
      <c r="E7" t="s">
        <v>20</v>
      </c>
      <c r="F7">
        <v>17</v>
      </c>
      <c r="G7">
        <v>1915.54</v>
      </c>
      <c r="H7">
        <v>32564.18</v>
      </c>
      <c r="I7" t="str">
        <f t="shared" si="7"/>
        <v>Bulk Order</v>
      </c>
      <c r="J7" t="str">
        <f t="shared" si="0"/>
        <v>MegaMart - Kolkata</v>
      </c>
      <c r="K7">
        <f t="shared" si="1"/>
        <v>11</v>
      </c>
      <c r="L7" t="str">
        <f t="shared" si="2"/>
        <v>Ele</v>
      </c>
      <c r="M7" s="3" t="str">
        <f t="shared" si="3"/>
        <v>RD100</v>
      </c>
      <c r="N7" s="3" t="str">
        <f t="shared" si="8"/>
        <v>kolkata</v>
      </c>
      <c r="O7" s="3" t="str">
        <f t="shared" si="4"/>
        <v>KOLKATA</v>
      </c>
      <c r="P7" s="3" t="str">
        <f t="shared" si="5"/>
        <v>Kolkata</v>
      </c>
      <c r="Q7" s="3">
        <f t="shared" si="6"/>
        <v>4.1231056256176606</v>
      </c>
    </row>
    <row r="8" spans="1:17">
      <c r="A8" t="s">
        <v>36</v>
      </c>
      <c r="B8" s="1">
        <v>45363</v>
      </c>
      <c r="C8" t="s">
        <v>25</v>
      </c>
      <c r="D8" t="s">
        <v>37</v>
      </c>
      <c r="E8" t="s">
        <v>27</v>
      </c>
      <c r="F8">
        <v>5</v>
      </c>
      <c r="G8">
        <v>946.34</v>
      </c>
      <c r="H8">
        <v>4731.7</v>
      </c>
      <c r="I8" t="str">
        <f t="shared" si="7"/>
        <v>Normal Order</v>
      </c>
      <c r="J8" t="str">
        <f t="shared" si="0"/>
        <v>QuickBuy - Hyderabad</v>
      </c>
      <c r="K8">
        <f t="shared" si="1"/>
        <v>5</v>
      </c>
      <c r="L8" t="str">
        <f t="shared" si="2"/>
        <v>Boo</v>
      </c>
      <c r="M8" s="3" t="str">
        <f t="shared" si="3"/>
        <v>RD100</v>
      </c>
      <c r="N8" s="3" t="str">
        <f t="shared" si="8"/>
        <v>hyderabad</v>
      </c>
      <c r="O8" s="3" t="str">
        <f t="shared" si="4"/>
        <v>HYDERABAD</v>
      </c>
      <c r="P8" s="3" t="str">
        <f t="shared" si="5"/>
        <v>Hyderabad</v>
      </c>
      <c r="Q8" s="3">
        <f t="shared" si="6"/>
        <v>2.2360679774997898</v>
      </c>
    </row>
    <row r="9" spans="1:17">
      <c r="A9" t="s">
        <v>38</v>
      </c>
      <c r="B9" s="1">
        <v>45344</v>
      </c>
      <c r="C9" t="s">
        <v>39</v>
      </c>
      <c r="D9" t="s">
        <v>29</v>
      </c>
      <c r="E9" t="s">
        <v>20</v>
      </c>
      <c r="F9">
        <v>14</v>
      </c>
      <c r="G9">
        <v>1089.5999999999999</v>
      </c>
      <c r="H9">
        <v>15254.4</v>
      </c>
      <c r="I9" t="str">
        <f t="shared" si="7"/>
        <v>Bulk Order</v>
      </c>
      <c r="J9" t="str">
        <f t="shared" si="0"/>
        <v>Trendz - Kolkata</v>
      </c>
      <c r="K9">
        <f t="shared" si="1"/>
        <v>11</v>
      </c>
      <c r="L9" t="str">
        <f t="shared" si="2"/>
        <v>Ele</v>
      </c>
      <c r="M9" s="3" t="str">
        <f t="shared" si="3"/>
        <v>RD100</v>
      </c>
      <c r="N9" s="3" t="str">
        <f t="shared" si="8"/>
        <v>kolkata</v>
      </c>
      <c r="O9" s="3" t="str">
        <f t="shared" si="4"/>
        <v>KOLKATA</v>
      </c>
      <c r="P9" s="3" t="str">
        <f t="shared" si="5"/>
        <v>Kolkata</v>
      </c>
      <c r="Q9" s="3">
        <f t="shared" si="6"/>
        <v>3.7416573867739413</v>
      </c>
    </row>
    <row r="10" spans="1:17">
      <c r="A10" t="s">
        <v>40</v>
      </c>
      <c r="B10" s="1">
        <v>45638</v>
      </c>
      <c r="C10" t="s">
        <v>18</v>
      </c>
      <c r="D10" t="s">
        <v>26</v>
      </c>
      <c r="E10" t="s">
        <v>30</v>
      </c>
      <c r="F10">
        <v>3</v>
      </c>
      <c r="G10">
        <v>1115.23</v>
      </c>
      <c r="H10">
        <v>3345.69</v>
      </c>
      <c r="I10" t="str">
        <f t="shared" si="7"/>
        <v>Normal Order</v>
      </c>
      <c r="J10" t="str">
        <f t="shared" si="0"/>
        <v>ValueShop - Delhi</v>
      </c>
      <c r="K10">
        <f t="shared" si="1"/>
        <v>14</v>
      </c>
      <c r="L10" t="str">
        <f t="shared" si="2"/>
        <v>Hom</v>
      </c>
      <c r="M10" s="3" t="str">
        <f t="shared" si="3"/>
        <v>RD100</v>
      </c>
      <c r="N10" s="3" t="str">
        <f t="shared" si="8"/>
        <v>delhi</v>
      </c>
      <c r="O10" s="3" t="str">
        <f t="shared" si="4"/>
        <v>DELHI</v>
      </c>
      <c r="P10" s="3" t="str">
        <f t="shared" si="5"/>
        <v>Delhi</v>
      </c>
      <c r="Q10" s="3">
        <f t="shared" si="6"/>
        <v>1.7320508075688772</v>
      </c>
    </row>
    <row r="11" spans="1:17">
      <c r="A11" t="s">
        <v>41</v>
      </c>
      <c r="B11" s="1">
        <v>45571</v>
      </c>
      <c r="C11" t="s">
        <v>18</v>
      </c>
      <c r="D11" t="s">
        <v>42</v>
      </c>
      <c r="E11" t="s">
        <v>30</v>
      </c>
      <c r="F11">
        <v>8</v>
      </c>
      <c r="G11">
        <v>1367.94</v>
      </c>
      <c r="H11">
        <v>10943.52</v>
      </c>
      <c r="I11" t="str">
        <f t="shared" si="7"/>
        <v>Normal Order</v>
      </c>
      <c r="J11" t="str">
        <f t="shared" si="0"/>
        <v>ValueShop - Pune</v>
      </c>
      <c r="K11">
        <f t="shared" si="1"/>
        <v>14</v>
      </c>
      <c r="L11" t="str">
        <f t="shared" si="2"/>
        <v>Hom</v>
      </c>
      <c r="M11" s="3" t="str">
        <f t="shared" si="3"/>
        <v>RD100</v>
      </c>
      <c r="N11" s="3" t="str">
        <f t="shared" si="8"/>
        <v>pune</v>
      </c>
      <c r="O11" s="3" t="str">
        <f t="shared" si="4"/>
        <v>PUNE</v>
      </c>
      <c r="P11" s="3" t="str">
        <f t="shared" si="5"/>
        <v>Pune</v>
      </c>
      <c r="Q11" s="3">
        <f t="shared" si="6"/>
        <v>2.8284271247461903</v>
      </c>
    </row>
    <row r="12" spans="1:17">
      <c r="A12" t="s">
        <v>43</v>
      </c>
      <c r="B12" s="1">
        <v>45336</v>
      </c>
      <c r="C12" t="s">
        <v>39</v>
      </c>
      <c r="D12" t="s">
        <v>29</v>
      </c>
      <c r="E12" t="s">
        <v>44</v>
      </c>
      <c r="F12">
        <v>15</v>
      </c>
      <c r="G12">
        <v>1741.93</v>
      </c>
      <c r="H12">
        <v>26128.95</v>
      </c>
      <c r="I12" t="str">
        <f t="shared" si="7"/>
        <v>Bulk Order</v>
      </c>
      <c r="J12" t="str">
        <f t="shared" si="0"/>
        <v>Trendz - Kolkata</v>
      </c>
      <c r="K12">
        <f t="shared" si="1"/>
        <v>9</v>
      </c>
      <c r="L12" t="str">
        <f t="shared" si="2"/>
        <v>Gro</v>
      </c>
      <c r="M12" s="3" t="str">
        <f t="shared" si="3"/>
        <v>RD101</v>
      </c>
      <c r="N12" s="3" t="str">
        <f t="shared" si="8"/>
        <v>kolkata</v>
      </c>
      <c r="O12" s="3" t="str">
        <f t="shared" si="4"/>
        <v>KOLKATA</v>
      </c>
      <c r="P12" s="3" t="str">
        <f t="shared" si="5"/>
        <v>Kolkata</v>
      </c>
      <c r="Q12" s="3">
        <f t="shared" si="6"/>
        <v>3.872983346207417</v>
      </c>
    </row>
    <row r="13" spans="1:17">
      <c r="A13" t="s">
        <v>45</v>
      </c>
      <c r="B13" s="1">
        <v>45594</v>
      </c>
      <c r="C13" t="s">
        <v>25</v>
      </c>
      <c r="D13" t="s">
        <v>37</v>
      </c>
      <c r="E13" t="s">
        <v>34</v>
      </c>
      <c r="F13">
        <v>12</v>
      </c>
      <c r="G13">
        <v>1377.45</v>
      </c>
      <c r="H13">
        <v>16529.400000000001</v>
      </c>
      <c r="I13" t="str">
        <f t="shared" si="7"/>
        <v>Bulk Order</v>
      </c>
      <c r="J13" t="str">
        <f t="shared" si="0"/>
        <v>QuickBuy - Hyderabad</v>
      </c>
      <c r="K13">
        <f t="shared" si="1"/>
        <v>4</v>
      </c>
      <c r="L13" t="str">
        <f t="shared" si="2"/>
        <v>Toy</v>
      </c>
      <c r="M13" s="3" t="str">
        <f t="shared" si="3"/>
        <v>RD101</v>
      </c>
      <c r="N13" s="3" t="str">
        <f t="shared" si="8"/>
        <v>hyderabad</v>
      </c>
      <c r="O13" s="3" t="str">
        <f t="shared" si="4"/>
        <v>HYDERABAD</v>
      </c>
      <c r="P13" s="3" t="str">
        <f t="shared" si="5"/>
        <v>Hyderabad</v>
      </c>
      <c r="Q13" s="3">
        <f t="shared" si="6"/>
        <v>3.4641016151377544</v>
      </c>
    </row>
    <row r="14" spans="1:17">
      <c r="A14" t="s">
        <v>46</v>
      </c>
      <c r="B14" s="1">
        <v>45508</v>
      </c>
      <c r="C14" t="s">
        <v>25</v>
      </c>
      <c r="D14" t="s">
        <v>33</v>
      </c>
      <c r="E14" t="s">
        <v>34</v>
      </c>
      <c r="F14">
        <v>1</v>
      </c>
      <c r="G14">
        <v>1617.12</v>
      </c>
      <c r="H14">
        <v>1617.12</v>
      </c>
      <c r="I14" t="str">
        <f t="shared" si="7"/>
        <v>Normal Order</v>
      </c>
      <c r="J14" t="str">
        <f t="shared" si="0"/>
        <v>QuickBuy - Chennai</v>
      </c>
      <c r="K14">
        <f t="shared" si="1"/>
        <v>4</v>
      </c>
      <c r="L14" t="str">
        <f t="shared" si="2"/>
        <v>Toy</v>
      </c>
      <c r="M14" s="3" t="str">
        <f t="shared" si="3"/>
        <v>RD101</v>
      </c>
      <c r="N14" s="3" t="str">
        <f t="shared" si="8"/>
        <v>chennai</v>
      </c>
      <c r="O14" s="3" t="str">
        <f t="shared" si="4"/>
        <v>CHENNAI</v>
      </c>
      <c r="P14" s="3" t="str">
        <f t="shared" si="5"/>
        <v>Chennai</v>
      </c>
      <c r="Q14" s="3">
        <f t="shared" si="6"/>
        <v>1</v>
      </c>
    </row>
    <row r="15" spans="1:17">
      <c r="A15" t="s">
        <v>47</v>
      </c>
      <c r="B15" s="1">
        <v>45308</v>
      </c>
      <c r="C15" t="s">
        <v>32</v>
      </c>
      <c r="D15" t="s">
        <v>33</v>
      </c>
      <c r="E15" t="s">
        <v>20</v>
      </c>
      <c r="F15">
        <v>14</v>
      </c>
      <c r="G15">
        <v>565.51</v>
      </c>
      <c r="H15">
        <v>7917.1399999999994</v>
      </c>
      <c r="I15" t="str">
        <f t="shared" si="7"/>
        <v>Bulk Order</v>
      </c>
      <c r="J15" t="str">
        <f t="shared" si="0"/>
        <v>MegaMart - Chennai</v>
      </c>
      <c r="K15">
        <f t="shared" si="1"/>
        <v>11</v>
      </c>
      <c r="L15" t="str">
        <f t="shared" si="2"/>
        <v>Ele</v>
      </c>
      <c r="M15" s="3" t="str">
        <f t="shared" si="3"/>
        <v>RD101</v>
      </c>
      <c r="N15" s="3" t="str">
        <f t="shared" si="8"/>
        <v>chennai</v>
      </c>
      <c r="O15" s="3" t="str">
        <f t="shared" si="4"/>
        <v>CHENNAI</v>
      </c>
      <c r="P15" s="3" t="str">
        <f t="shared" si="5"/>
        <v>Chennai</v>
      </c>
      <c r="Q15" s="3">
        <f t="shared" si="6"/>
        <v>3.7416573867739413</v>
      </c>
    </row>
    <row r="16" spans="1:17">
      <c r="A16" t="s">
        <v>48</v>
      </c>
      <c r="B16" s="1">
        <v>45307</v>
      </c>
      <c r="C16" t="s">
        <v>39</v>
      </c>
      <c r="D16" t="s">
        <v>26</v>
      </c>
      <c r="E16" t="s">
        <v>30</v>
      </c>
      <c r="F16">
        <v>2</v>
      </c>
      <c r="G16">
        <v>994.15</v>
      </c>
      <c r="H16">
        <v>1988.3</v>
      </c>
      <c r="I16" t="str">
        <f t="shared" si="7"/>
        <v>Normal Order</v>
      </c>
      <c r="J16" t="str">
        <f t="shared" si="0"/>
        <v>Trendz - Delhi</v>
      </c>
      <c r="K16">
        <f t="shared" si="1"/>
        <v>14</v>
      </c>
      <c r="L16" t="str">
        <f t="shared" si="2"/>
        <v>Hom</v>
      </c>
      <c r="M16" s="3" t="str">
        <f t="shared" si="3"/>
        <v>RD101</v>
      </c>
      <c r="N16" s="3" t="str">
        <f t="shared" si="8"/>
        <v>delhi</v>
      </c>
      <c r="O16" s="3" t="str">
        <f t="shared" si="4"/>
        <v>DELHI</v>
      </c>
      <c r="P16" s="3" t="str">
        <f t="shared" si="5"/>
        <v>Delhi</v>
      </c>
      <c r="Q16" s="3">
        <f t="shared" si="6"/>
        <v>1.4142135623730951</v>
      </c>
    </row>
    <row r="17" spans="1:17">
      <c r="A17" t="s">
        <v>49</v>
      </c>
      <c r="B17" s="1">
        <v>45339</v>
      </c>
      <c r="C17" t="s">
        <v>25</v>
      </c>
      <c r="D17" t="s">
        <v>50</v>
      </c>
      <c r="E17" t="s">
        <v>34</v>
      </c>
      <c r="F17">
        <v>13</v>
      </c>
      <c r="G17">
        <v>1916.81</v>
      </c>
      <c r="H17">
        <v>24918.53</v>
      </c>
      <c r="I17" t="str">
        <f t="shared" si="7"/>
        <v>Bulk Order</v>
      </c>
      <c r="J17" t="str">
        <f t="shared" si="0"/>
        <v>QuickBuy - Mumbai</v>
      </c>
      <c r="K17">
        <f t="shared" si="1"/>
        <v>4</v>
      </c>
      <c r="L17" t="str">
        <f t="shared" si="2"/>
        <v>Toy</v>
      </c>
      <c r="M17" s="3" t="str">
        <f t="shared" si="3"/>
        <v>RD101</v>
      </c>
      <c r="N17" s="3" t="str">
        <f t="shared" si="8"/>
        <v>mumbai</v>
      </c>
      <c r="O17" s="3" t="str">
        <f t="shared" si="4"/>
        <v>MUMBAI</v>
      </c>
      <c r="P17" s="3" t="str">
        <f t="shared" si="5"/>
        <v>Mumbai</v>
      </c>
      <c r="Q17" s="3">
        <f t="shared" si="6"/>
        <v>3.6055512754639891</v>
      </c>
    </row>
    <row r="18" spans="1:17">
      <c r="A18" t="s">
        <v>51</v>
      </c>
      <c r="B18" s="1">
        <v>45403</v>
      </c>
      <c r="C18" t="s">
        <v>22</v>
      </c>
      <c r="D18" t="s">
        <v>37</v>
      </c>
      <c r="E18" t="s">
        <v>23</v>
      </c>
      <c r="F18">
        <v>17</v>
      </c>
      <c r="G18">
        <v>594.05999999999995</v>
      </c>
      <c r="H18">
        <v>10099.02</v>
      </c>
      <c r="I18" t="str">
        <f t="shared" si="7"/>
        <v>Bulk Order</v>
      </c>
      <c r="J18" t="str">
        <f t="shared" si="0"/>
        <v>CityStore - Hyderabad</v>
      </c>
      <c r="K18">
        <f t="shared" si="1"/>
        <v>8</v>
      </c>
      <c r="L18" t="str">
        <f t="shared" si="2"/>
        <v>Clo</v>
      </c>
      <c r="M18" s="3" t="str">
        <f t="shared" si="3"/>
        <v>RD101</v>
      </c>
      <c r="N18" s="3" t="str">
        <f t="shared" si="8"/>
        <v>hyderabad</v>
      </c>
      <c r="O18" s="3" t="str">
        <f t="shared" si="4"/>
        <v>HYDERABAD</v>
      </c>
      <c r="P18" s="3" t="str">
        <f t="shared" si="5"/>
        <v>Hyderabad</v>
      </c>
      <c r="Q18" s="3">
        <f t="shared" si="6"/>
        <v>4.1231056256176606</v>
      </c>
    </row>
    <row r="19" spans="1:17">
      <c r="A19" t="s">
        <v>52</v>
      </c>
      <c r="B19" s="1">
        <v>45411</v>
      </c>
      <c r="C19" t="s">
        <v>18</v>
      </c>
      <c r="D19" t="s">
        <v>19</v>
      </c>
      <c r="E19" t="s">
        <v>34</v>
      </c>
      <c r="F19">
        <v>12</v>
      </c>
      <c r="G19">
        <v>632.07000000000005</v>
      </c>
      <c r="H19">
        <v>7584.84</v>
      </c>
      <c r="I19" t="str">
        <f t="shared" si="7"/>
        <v>Bulk Order</v>
      </c>
      <c r="J19" t="str">
        <f t="shared" si="0"/>
        <v>ValueShop - Bangalore</v>
      </c>
      <c r="K19">
        <f t="shared" si="1"/>
        <v>4</v>
      </c>
      <c r="L19" t="str">
        <f t="shared" si="2"/>
        <v>Toy</v>
      </c>
      <c r="M19" s="3" t="str">
        <f t="shared" si="3"/>
        <v>RD101</v>
      </c>
      <c r="N19" s="3" t="str">
        <f t="shared" si="8"/>
        <v>bangalore</v>
      </c>
      <c r="O19" s="3" t="str">
        <f t="shared" si="4"/>
        <v>BANGALORE</v>
      </c>
      <c r="P19" s="3" t="str">
        <f t="shared" si="5"/>
        <v>Bangalore</v>
      </c>
      <c r="Q19" s="3">
        <f t="shared" si="6"/>
        <v>3.4641016151377544</v>
      </c>
    </row>
    <row r="20" spans="1:17">
      <c r="A20" t="s">
        <v>53</v>
      </c>
      <c r="B20" s="1">
        <v>45550</v>
      </c>
      <c r="C20" t="s">
        <v>32</v>
      </c>
      <c r="D20" t="s">
        <v>37</v>
      </c>
      <c r="E20" t="s">
        <v>20</v>
      </c>
      <c r="F20">
        <v>8</v>
      </c>
      <c r="G20">
        <v>1885.9</v>
      </c>
      <c r="H20">
        <v>15087.2</v>
      </c>
      <c r="I20" t="str">
        <f t="shared" si="7"/>
        <v>Normal Order</v>
      </c>
      <c r="J20" t="str">
        <f t="shared" si="0"/>
        <v>MegaMart - Hyderabad</v>
      </c>
      <c r="K20">
        <f t="shared" si="1"/>
        <v>11</v>
      </c>
      <c r="L20" t="str">
        <f t="shared" si="2"/>
        <v>Ele</v>
      </c>
      <c r="M20" s="3" t="str">
        <f t="shared" si="3"/>
        <v>RD101</v>
      </c>
      <c r="N20" s="3" t="str">
        <f t="shared" si="8"/>
        <v>hyderabad</v>
      </c>
      <c r="O20" s="3" t="str">
        <f t="shared" si="4"/>
        <v>HYDERABAD</v>
      </c>
      <c r="P20" s="3" t="str">
        <f t="shared" si="5"/>
        <v>Hyderabad</v>
      </c>
      <c r="Q20" s="3">
        <f t="shared" si="6"/>
        <v>2.8284271247461903</v>
      </c>
    </row>
    <row r="21" spans="1:17">
      <c r="A21" t="s">
        <v>54</v>
      </c>
      <c r="B21" s="1">
        <v>45600</v>
      </c>
      <c r="C21" t="s">
        <v>39</v>
      </c>
      <c r="D21" t="s">
        <v>29</v>
      </c>
      <c r="E21" t="s">
        <v>27</v>
      </c>
      <c r="F21">
        <v>13</v>
      </c>
      <c r="G21">
        <v>1965.41</v>
      </c>
      <c r="H21">
        <v>25550.33</v>
      </c>
      <c r="I21" t="str">
        <f t="shared" si="7"/>
        <v>Bulk Order</v>
      </c>
      <c r="J21" t="str">
        <f t="shared" si="0"/>
        <v>Trendz - Kolkata</v>
      </c>
      <c r="K21">
        <f t="shared" si="1"/>
        <v>5</v>
      </c>
      <c r="L21" t="str">
        <f t="shared" si="2"/>
        <v>Boo</v>
      </c>
      <c r="M21" s="3" t="str">
        <f t="shared" si="3"/>
        <v>RD101</v>
      </c>
      <c r="N21" s="3" t="str">
        <f t="shared" si="8"/>
        <v>kolkata</v>
      </c>
      <c r="O21" s="3" t="str">
        <f t="shared" si="4"/>
        <v>KOLKATA</v>
      </c>
      <c r="P21" s="3" t="str">
        <f t="shared" si="5"/>
        <v>Kolkata</v>
      </c>
      <c r="Q21" s="3">
        <f t="shared" si="6"/>
        <v>3.6055512754639891</v>
      </c>
    </row>
    <row r="22" spans="1:17">
      <c r="A22" t="s">
        <v>55</v>
      </c>
      <c r="B22" s="1">
        <v>45305</v>
      </c>
      <c r="C22" t="s">
        <v>32</v>
      </c>
      <c r="D22" t="s">
        <v>33</v>
      </c>
      <c r="E22" t="s">
        <v>27</v>
      </c>
      <c r="F22">
        <v>3</v>
      </c>
      <c r="G22">
        <v>1553.79</v>
      </c>
      <c r="H22">
        <v>4661.37</v>
      </c>
      <c r="I22" t="str">
        <f t="shared" si="7"/>
        <v>Normal Order</v>
      </c>
      <c r="J22" t="str">
        <f t="shared" si="0"/>
        <v>MegaMart - Chennai</v>
      </c>
      <c r="K22">
        <f t="shared" si="1"/>
        <v>5</v>
      </c>
      <c r="L22" t="str">
        <f t="shared" si="2"/>
        <v>Boo</v>
      </c>
      <c r="M22" s="3" t="str">
        <f t="shared" si="3"/>
        <v>RD102</v>
      </c>
      <c r="N22" s="3" t="str">
        <f t="shared" si="8"/>
        <v>chennai</v>
      </c>
      <c r="O22" s="3" t="str">
        <f t="shared" si="4"/>
        <v>CHENNAI</v>
      </c>
      <c r="P22" s="3" t="str">
        <f t="shared" si="5"/>
        <v>Chennai</v>
      </c>
      <c r="Q22" s="3">
        <f t="shared" si="6"/>
        <v>1.7320508075688772</v>
      </c>
    </row>
    <row r="23" spans="1:17">
      <c r="A23" t="s">
        <v>56</v>
      </c>
      <c r="B23" s="1">
        <v>45579</v>
      </c>
      <c r="C23" t="s">
        <v>25</v>
      </c>
      <c r="D23" t="s">
        <v>42</v>
      </c>
      <c r="E23" t="s">
        <v>34</v>
      </c>
      <c r="F23">
        <v>12</v>
      </c>
      <c r="G23">
        <v>1424.56</v>
      </c>
      <c r="H23">
        <v>17094.72</v>
      </c>
      <c r="I23" t="str">
        <f t="shared" si="7"/>
        <v>Bulk Order</v>
      </c>
      <c r="J23" t="str">
        <f t="shared" si="0"/>
        <v>QuickBuy - Pune</v>
      </c>
      <c r="K23">
        <f t="shared" si="1"/>
        <v>4</v>
      </c>
      <c r="L23" t="str">
        <f t="shared" si="2"/>
        <v>Toy</v>
      </c>
      <c r="M23" s="3" t="str">
        <f t="shared" si="3"/>
        <v>RD102</v>
      </c>
      <c r="N23" s="3" t="str">
        <f t="shared" si="8"/>
        <v>pune</v>
      </c>
      <c r="O23" s="3" t="str">
        <f t="shared" si="4"/>
        <v>PUNE</v>
      </c>
      <c r="P23" s="3" t="str">
        <f t="shared" si="5"/>
        <v>Pune</v>
      </c>
      <c r="Q23" s="3">
        <f t="shared" si="6"/>
        <v>3.4641016151377544</v>
      </c>
    </row>
    <row r="24" spans="1:17">
      <c r="A24" t="s">
        <v>57</v>
      </c>
      <c r="B24" s="1">
        <v>45393</v>
      </c>
      <c r="C24" t="s">
        <v>25</v>
      </c>
      <c r="D24" t="s">
        <v>33</v>
      </c>
      <c r="E24" t="s">
        <v>44</v>
      </c>
      <c r="F24">
        <v>8</v>
      </c>
      <c r="G24">
        <v>1395.97</v>
      </c>
      <c r="H24">
        <v>11167.76</v>
      </c>
      <c r="I24" t="str">
        <f t="shared" si="7"/>
        <v>Normal Order</v>
      </c>
      <c r="J24" t="str">
        <f t="shared" si="0"/>
        <v>QuickBuy - Chennai</v>
      </c>
      <c r="K24">
        <f t="shared" si="1"/>
        <v>9</v>
      </c>
      <c r="L24" t="str">
        <f t="shared" si="2"/>
        <v>Gro</v>
      </c>
      <c r="M24" s="3" t="str">
        <f t="shared" si="3"/>
        <v>RD102</v>
      </c>
      <c r="N24" s="3" t="str">
        <f t="shared" si="8"/>
        <v>chennai</v>
      </c>
      <c r="O24" s="3" t="str">
        <f t="shared" si="4"/>
        <v>CHENNAI</v>
      </c>
      <c r="P24" s="3" t="str">
        <f t="shared" si="5"/>
        <v>Chennai</v>
      </c>
      <c r="Q24" s="3">
        <f t="shared" si="6"/>
        <v>2.8284271247461903</v>
      </c>
    </row>
    <row r="25" spans="1:17">
      <c r="A25" t="s">
        <v>58</v>
      </c>
      <c r="B25" s="1">
        <v>45624</v>
      </c>
      <c r="C25" t="s">
        <v>22</v>
      </c>
      <c r="D25" t="s">
        <v>29</v>
      </c>
      <c r="E25" t="s">
        <v>30</v>
      </c>
      <c r="F25">
        <v>1</v>
      </c>
      <c r="G25">
        <v>1003.56</v>
      </c>
      <c r="H25">
        <v>1003.56</v>
      </c>
      <c r="I25" t="str">
        <f t="shared" si="7"/>
        <v>Normal Order</v>
      </c>
      <c r="J25" t="str">
        <f t="shared" si="0"/>
        <v>CityStore - Kolkata</v>
      </c>
      <c r="K25">
        <f t="shared" si="1"/>
        <v>14</v>
      </c>
      <c r="L25" t="str">
        <f t="shared" si="2"/>
        <v>Hom</v>
      </c>
      <c r="M25" s="3" t="str">
        <f t="shared" si="3"/>
        <v>RD102</v>
      </c>
      <c r="N25" s="3" t="str">
        <f t="shared" si="8"/>
        <v>kolkata</v>
      </c>
      <c r="O25" s="3" t="str">
        <f t="shared" si="4"/>
        <v>KOLKATA</v>
      </c>
      <c r="P25" s="3" t="str">
        <f t="shared" si="5"/>
        <v>Kolkata</v>
      </c>
      <c r="Q25" s="3">
        <f t="shared" si="6"/>
        <v>1</v>
      </c>
    </row>
    <row r="26" spans="1:17">
      <c r="A26" t="s">
        <v>59</v>
      </c>
      <c r="B26" s="1">
        <v>45651</v>
      </c>
      <c r="C26" t="s">
        <v>18</v>
      </c>
      <c r="D26" t="s">
        <v>26</v>
      </c>
      <c r="E26" t="s">
        <v>27</v>
      </c>
      <c r="F26">
        <v>11</v>
      </c>
      <c r="G26">
        <v>985.62</v>
      </c>
      <c r="H26">
        <v>10841.82</v>
      </c>
      <c r="I26" t="str">
        <f t="shared" si="7"/>
        <v>Bulk Order</v>
      </c>
      <c r="J26" t="str">
        <f t="shared" si="0"/>
        <v>ValueShop - Delhi</v>
      </c>
      <c r="K26">
        <f t="shared" si="1"/>
        <v>5</v>
      </c>
      <c r="L26" t="str">
        <f t="shared" si="2"/>
        <v>Boo</v>
      </c>
      <c r="M26" s="3" t="str">
        <f t="shared" si="3"/>
        <v>RD102</v>
      </c>
      <c r="N26" s="3" t="str">
        <f t="shared" si="8"/>
        <v>delhi</v>
      </c>
      <c r="O26" s="3" t="str">
        <f t="shared" si="4"/>
        <v>DELHI</v>
      </c>
      <c r="P26" s="3" t="str">
        <f t="shared" si="5"/>
        <v>Delhi</v>
      </c>
      <c r="Q26" s="3">
        <f t="shared" si="6"/>
        <v>3.3166247903553998</v>
      </c>
    </row>
    <row r="27" spans="1:17">
      <c r="A27" t="s">
        <v>60</v>
      </c>
      <c r="B27" s="1">
        <v>45571</v>
      </c>
      <c r="C27" t="s">
        <v>39</v>
      </c>
      <c r="D27" t="s">
        <v>50</v>
      </c>
      <c r="E27" t="s">
        <v>20</v>
      </c>
      <c r="F27">
        <v>4</v>
      </c>
      <c r="G27">
        <v>1142.95</v>
      </c>
      <c r="H27">
        <v>4571.8</v>
      </c>
      <c r="I27" t="str">
        <f t="shared" si="7"/>
        <v>Normal Order</v>
      </c>
      <c r="J27" t="str">
        <f t="shared" si="0"/>
        <v>Trendz - Mumbai</v>
      </c>
      <c r="K27">
        <f t="shared" si="1"/>
        <v>11</v>
      </c>
      <c r="L27" t="str">
        <f t="shared" si="2"/>
        <v>Ele</v>
      </c>
      <c r="M27" s="3" t="str">
        <f t="shared" si="3"/>
        <v>RD102</v>
      </c>
      <c r="N27" s="3" t="str">
        <f t="shared" si="8"/>
        <v>mumbai</v>
      </c>
      <c r="O27" s="3" t="str">
        <f t="shared" si="4"/>
        <v>MUMBAI</v>
      </c>
      <c r="P27" s="3" t="str">
        <f t="shared" si="5"/>
        <v>Mumbai</v>
      </c>
      <c r="Q27" s="3">
        <f t="shared" si="6"/>
        <v>2</v>
      </c>
    </row>
    <row r="28" spans="1:17">
      <c r="A28" t="s">
        <v>61</v>
      </c>
      <c r="B28" s="1">
        <v>45506</v>
      </c>
      <c r="C28" t="s">
        <v>32</v>
      </c>
      <c r="D28" t="s">
        <v>19</v>
      </c>
      <c r="E28" t="s">
        <v>20</v>
      </c>
      <c r="F28">
        <v>11</v>
      </c>
      <c r="G28">
        <v>1872.25</v>
      </c>
      <c r="H28">
        <v>20594.75</v>
      </c>
      <c r="I28" t="str">
        <f t="shared" si="7"/>
        <v>Bulk Order</v>
      </c>
      <c r="J28" t="str">
        <f t="shared" si="0"/>
        <v>MegaMart - Bangalore</v>
      </c>
      <c r="K28">
        <f t="shared" si="1"/>
        <v>11</v>
      </c>
      <c r="L28" t="str">
        <f t="shared" si="2"/>
        <v>Ele</v>
      </c>
      <c r="M28" s="3" t="str">
        <f t="shared" si="3"/>
        <v>RD102</v>
      </c>
      <c r="N28" s="3" t="str">
        <f t="shared" si="8"/>
        <v>bangalore</v>
      </c>
      <c r="O28" s="3" t="str">
        <f t="shared" si="4"/>
        <v>BANGALORE</v>
      </c>
      <c r="P28" s="3" t="str">
        <f t="shared" si="5"/>
        <v>Bangalore</v>
      </c>
      <c r="Q28" s="3">
        <f t="shared" si="6"/>
        <v>3.3166247903553998</v>
      </c>
    </row>
    <row r="29" spans="1:17">
      <c r="A29" t="s">
        <v>62</v>
      </c>
      <c r="B29" s="1">
        <v>45404</v>
      </c>
      <c r="C29" t="s">
        <v>18</v>
      </c>
      <c r="D29" t="s">
        <v>37</v>
      </c>
      <c r="E29" t="s">
        <v>30</v>
      </c>
      <c r="F29">
        <v>5</v>
      </c>
      <c r="G29">
        <v>1457.25</v>
      </c>
      <c r="H29">
        <v>7286.25</v>
      </c>
      <c r="I29" t="str">
        <f>IF(F29&gt;10,"Bulk Order","Normal Order")</f>
        <v>Normal Order</v>
      </c>
      <c r="J29" t="str">
        <f t="shared" si="0"/>
        <v>ValueShop - Hyderabad</v>
      </c>
      <c r="K29">
        <f t="shared" si="1"/>
        <v>14</v>
      </c>
      <c r="L29" t="str">
        <f t="shared" si="2"/>
        <v>Hom</v>
      </c>
      <c r="M29" s="3" t="str">
        <f t="shared" si="3"/>
        <v>RD102</v>
      </c>
      <c r="N29" s="3" t="str">
        <f t="shared" si="8"/>
        <v>hyderabad</v>
      </c>
      <c r="O29" s="3" t="str">
        <f t="shared" si="4"/>
        <v>HYDERABAD</v>
      </c>
      <c r="P29" s="3" t="str">
        <f t="shared" si="5"/>
        <v>Hyderabad</v>
      </c>
      <c r="Q29" s="3">
        <f t="shared" si="6"/>
        <v>2.2360679774997898</v>
      </c>
    </row>
    <row r="30" spans="1:17">
      <c r="A30" t="s">
        <v>63</v>
      </c>
      <c r="B30" s="1">
        <v>45521</v>
      </c>
      <c r="C30" t="s">
        <v>25</v>
      </c>
      <c r="D30" t="s">
        <v>50</v>
      </c>
      <c r="E30" t="s">
        <v>30</v>
      </c>
      <c r="F30">
        <v>5</v>
      </c>
      <c r="G30">
        <v>611.19000000000005</v>
      </c>
      <c r="H30">
        <v>3055.95</v>
      </c>
      <c r="I30" t="str">
        <f t="shared" si="7"/>
        <v>Normal Order</v>
      </c>
      <c r="J30" t="str">
        <f t="shared" si="0"/>
        <v>QuickBuy - Mumbai</v>
      </c>
      <c r="K30">
        <f t="shared" si="1"/>
        <v>14</v>
      </c>
      <c r="L30" t="str">
        <f t="shared" si="2"/>
        <v>Hom</v>
      </c>
      <c r="M30" s="3" t="str">
        <f t="shared" si="3"/>
        <v>RD102</v>
      </c>
      <c r="N30" s="3" t="str">
        <f t="shared" si="8"/>
        <v>mumbai</v>
      </c>
      <c r="O30" s="3" t="str">
        <f t="shared" si="4"/>
        <v>MUMBAI</v>
      </c>
      <c r="P30" s="3" t="str">
        <f t="shared" si="5"/>
        <v>Mumbai</v>
      </c>
      <c r="Q30" s="3">
        <f t="shared" si="6"/>
        <v>2.2360679774997898</v>
      </c>
    </row>
    <row r="31" spans="1:17">
      <c r="A31" t="s">
        <v>64</v>
      </c>
      <c r="B31" s="1">
        <v>45593</v>
      </c>
      <c r="C31" t="s">
        <v>18</v>
      </c>
      <c r="D31" t="s">
        <v>19</v>
      </c>
      <c r="E31" t="s">
        <v>30</v>
      </c>
      <c r="F31">
        <v>2</v>
      </c>
      <c r="G31">
        <v>1168.28</v>
      </c>
      <c r="H31">
        <v>2336.56</v>
      </c>
      <c r="I31" t="str">
        <f t="shared" si="7"/>
        <v>Normal Order</v>
      </c>
      <c r="J31" t="str">
        <f t="shared" si="0"/>
        <v>ValueShop - Bangalore</v>
      </c>
      <c r="K31">
        <f t="shared" si="1"/>
        <v>14</v>
      </c>
      <c r="L31" t="str">
        <f t="shared" si="2"/>
        <v>Hom</v>
      </c>
      <c r="M31" s="3" t="str">
        <f t="shared" si="3"/>
        <v>RD102</v>
      </c>
      <c r="N31" s="3" t="str">
        <f t="shared" si="8"/>
        <v>bangalore</v>
      </c>
      <c r="O31" s="3" t="str">
        <f t="shared" si="4"/>
        <v>BANGALORE</v>
      </c>
      <c r="P31" s="3" t="str">
        <f t="shared" si="5"/>
        <v>Bangalore</v>
      </c>
      <c r="Q31" s="3">
        <f t="shared" si="6"/>
        <v>1.4142135623730951</v>
      </c>
    </row>
    <row r="32" spans="1:17">
      <c r="A32" t="s">
        <v>65</v>
      </c>
      <c r="B32" s="1">
        <v>45434</v>
      </c>
      <c r="C32" t="s">
        <v>32</v>
      </c>
      <c r="D32" t="s">
        <v>33</v>
      </c>
      <c r="E32" t="s">
        <v>27</v>
      </c>
      <c r="F32">
        <v>10</v>
      </c>
      <c r="G32">
        <v>1109.22</v>
      </c>
      <c r="H32">
        <v>11092.2</v>
      </c>
      <c r="I32" t="str">
        <f t="shared" si="7"/>
        <v>Normal Order</v>
      </c>
      <c r="J32" t="str">
        <f t="shared" si="0"/>
        <v>MegaMart - Chennai</v>
      </c>
      <c r="K32">
        <f t="shared" si="1"/>
        <v>5</v>
      </c>
      <c r="L32" t="str">
        <f t="shared" si="2"/>
        <v>Boo</v>
      </c>
      <c r="M32" s="3" t="str">
        <f t="shared" si="3"/>
        <v>RD103</v>
      </c>
      <c r="N32" s="3" t="str">
        <f t="shared" si="8"/>
        <v>chennai</v>
      </c>
      <c r="O32" s="3" t="str">
        <f t="shared" si="4"/>
        <v>CHENNAI</v>
      </c>
      <c r="P32" s="3" t="str">
        <f t="shared" si="5"/>
        <v>Chennai</v>
      </c>
      <c r="Q32" s="3">
        <f t="shared" si="6"/>
        <v>3.1622776601683795</v>
      </c>
    </row>
    <row r="33" spans="1:17">
      <c r="A33" t="s">
        <v>66</v>
      </c>
      <c r="B33" s="1">
        <v>45295</v>
      </c>
      <c r="C33" t="s">
        <v>18</v>
      </c>
      <c r="D33" t="s">
        <v>42</v>
      </c>
      <c r="E33" t="s">
        <v>20</v>
      </c>
      <c r="F33">
        <v>16</v>
      </c>
      <c r="G33">
        <v>1796.73</v>
      </c>
      <c r="H33">
        <v>28747.68</v>
      </c>
      <c r="I33" t="str">
        <f t="shared" si="7"/>
        <v>Bulk Order</v>
      </c>
      <c r="J33" t="str">
        <f t="shared" si="0"/>
        <v>ValueShop - Pune</v>
      </c>
      <c r="K33">
        <f t="shared" si="1"/>
        <v>11</v>
      </c>
      <c r="L33" t="str">
        <f t="shared" si="2"/>
        <v>Ele</v>
      </c>
      <c r="M33" s="3" t="str">
        <f t="shared" si="3"/>
        <v>RD103</v>
      </c>
      <c r="N33" s="3" t="str">
        <f t="shared" si="8"/>
        <v>pune</v>
      </c>
      <c r="O33" s="3" t="str">
        <f t="shared" si="4"/>
        <v>PUNE</v>
      </c>
      <c r="P33" s="3" t="str">
        <f t="shared" si="5"/>
        <v>Pune</v>
      </c>
      <c r="Q33" s="3">
        <f t="shared" si="6"/>
        <v>4</v>
      </c>
    </row>
    <row r="34" spans="1:17">
      <c r="A34" t="s">
        <v>67</v>
      </c>
      <c r="B34" s="1">
        <v>45373</v>
      </c>
      <c r="C34" t="s">
        <v>25</v>
      </c>
      <c r="D34" t="s">
        <v>33</v>
      </c>
      <c r="E34" t="s">
        <v>30</v>
      </c>
      <c r="F34">
        <v>5</v>
      </c>
      <c r="G34">
        <v>819.34</v>
      </c>
      <c r="H34">
        <v>4096.7</v>
      </c>
      <c r="I34" t="str">
        <f t="shared" si="7"/>
        <v>Normal Order</v>
      </c>
      <c r="J34" t="str">
        <f t="shared" si="0"/>
        <v>QuickBuy - Chennai</v>
      </c>
      <c r="K34">
        <f t="shared" si="1"/>
        <v>14</v>
      </c>
      <c r="L34" t="str">
        <f t="shared" si="2"/>
        <v>Hom</v>
      </c>
      <c r="M34" s="3" t="str">
        <f t="shared" si="3"/>
        <v>RD103</v>
      </c>
      <c r="N34" s="3" t="str">
        <f t="shared" si="8"/>
        <v>chennai</v>
      </c>
      <c r="O34" s="3" t="str">
        <f t="shared" si="4"/>
        <v>CHENNAI</v>
      </c>
      <c r="P34" s="3" t="str">
        <f t="shared" si="5"/>
        <v>Chennai</v>
      </c>
      <c r="Q34" s="3">
        <f t="shared" si="6"/>
        <v>2.2360679774997898</v>
      </c>
    </row>
    <row r="35" spans="1:17">
      <c r="A35" t="s">
        <v>68</v>
      </c>
      <c r="B35" s="1">
        <v>45649</v>
      </c>
      <c r="C35" t="s">
        <v>18</v>
      </c>
      <c r="D35" t="s">
        <v>26</v>
      </c>
      <c r="E35" t="s">
        <v>27</v>
      </c>
      <c r="F35">
        <v>16</v>
      </c>
      <c r="G35">
        <v>723.01</v>
      </c>
      <c r="H35">
        <v>11568.16</v>
      </c>
      <c r="I35" t="str">
        <f t="shared" si="7"/>
        <v>Bulk Order</v>
      </c>
      <c r="J35" t="str">
        <f t="shared" si="0"/>
        <v>ValueShop - Delhi</v>
      </c>
      <c r="K35">
        <f t="shared" si="1"/>
        <v>5</v>
      </c>
      <c r="L35" t="str">
        <f t="shared" si="2"/>
        <v>Boo</v>
      </c>
      <c r="M35" s="3" t="str">
        <f t="shared" si="3"/>
        <v>RD103</v>
      </c>
      <c r="N35" s="3" t="str">
        <f t="shared" si="8"/>
        <v>delhi</v>
      </c>
      <c r="O35" s="3" t="str">
        <f t="shared" si="4"/>
        <v>DELHI</v>
      </c>
      <c r="P35" s="3" t="str">
        <f t="shared" si="5"/>
        <v>Delhi</v>
      </c>
      <c r="Q35" s="3">
        <f t="shared" si="6"/>
        <v>4</v>
      </c>
    </row>
    <row r="36" spans="1:17">
      <c r="A36" t="s">
        <v>69</v>
      </c>
      <c r="B36" s="1">
        <v>45508</v>
      </c>
      <c r="C36" t="s">
        <v>39</v>
      </c>
      <c r="D36" t="s">
        <v>26</v>
      </c>
      <c r="E36" t="s">
        <v>30</v>
      </c>
      <c r="F36">
        <v>15</v>
      </c>
      <c r="G36">
        <v>1557.48</v>
      </c>
      <c r="H36">
        <v>23362.2</v>
      </c>
      <c r="I36" t="str">
        <f t="shared" si="7"/>
        <v>Bulk Order</v>
      </c>
      <c r="J36" t="str">
        <f t="shared" si="0"/>
        <v>Trendz - Delhi</v>
      </c>
      <c r="K36">
        <f t="shared" si="1"/>
        <v>14</v>
      </c>
      <c r="L36" t="str">
        <f t="shared" si="2"/>
        <v>Hom</v>
      </c>
      <c r="M36" s="3" t="str">
        <f t="shared" si="3"/>
        <v>RD103</v>
      </c>
      <c r="N36" s="3" t="str">
        <f t="shared" si="8"/>
        <v>delhi</v>
      </c>
      <c r="O36" s="3" t="str">
        <f t="shared" si="4"/>
        <v>DELHI</v>
      </c>
      <c r="P36" s="3" t="str">
        <f t="shared" si="5"/>
        <v>Delhi</v>
      </c>
      <c r="Q36" s="3">
        <f t="shared" si="6"/>
        <v>3.872983346207417</v>
      </c>
    </row>
    <row r="37" spans="1:17">
      <c r="A37" t="s">
        <v>70</v>
      </c>
      <c r="B37" s="1">
        <v>45466</v>
      </c>
      <c r="C37" t="s">
        <v>18</v>
      </c>
      <c r="D37" t="s">
        <v>42</v>
      </c>
      <c r="E37" t="s">
        <v>20</v>
      </c>
      <c r="F37">
        <v>20</v>
      </c>
      <c r="G37">
        <v>335.63</v>
      </c>
      <c r="H37">
        <v>6712.6</v>
      </c>
      <c r="I37" t="str">
        <f t="shared" si="7"/>
        <v>Bulk Order</v>
      </c>
      <c r="J37" t="str">
        <f t="shared" si="0"/>
        <v>ValueShop - Pune</v>
      </c>
      <c r="K37">
        <f t="shared" si="1"/>
        <v>11</v>
      </c>
      <c r="L37" t="str">
        <f t="shared" si="2"/>
        <v>Ele</v>
      </c>
      <c r="M37" s="3" t="str">
        <f t="shared" si="3"/>
        <v>RD103</v>
      </c>
      <c r="N37" s="3" t="str">
        <f t="shared" si="8"/>
        <v>pune</v>
      </c>
      <c r="O37" s="3" t="str">
        <f t="shared" si="4"/>
        <v>PUNE</v>
      </c>
      <c r="P37" s="3" t="str">
        <f t="shared" si="5"/>
        <v>Pune</v>
      </c>
      <c r="Q37" s="3">
        <f t="shared" si="6"/>
        <v>4.4721359549995796</v>
      </c>
    </row>
    <row r="38" spans="1:17">
      <c r="A38" t="s">
        <v>71</v>
      </c>
      <c r="B38" s="1">
        <v>45434</v>
      </c>
      <c r="C38" t="s">
        <v>39</v>
      </c>
      <c r="D38" t="s">
        <v>37</v>
      </c>
      <c r="E38" t="s">
        <v>20</v>
      </c>
      <c r="F38">
        <v>1</v>
      </c>
      <c r="G38">
        <v>132.03</v>
      </c>
      <c r="H38">
        <v>132.03</v>
      </c>
      <c r="I38" t="str">
        <f t="shared" si="7"/>
        <v>Normal Order</v>
      </c>
      <c r="J38" t="str">
        <f t="shared" si="0"/>
        <v>Trendz - Hyderabad</v>
      </c>
      <c r="K38">
        <f t="shared" si="1"/>
        <v>11</v>
      </c>
      <c r="L38" t="str">
        <f t="shared" si="2"/>
        <v>Ele</v>
      </c>
      <c r="M38" s="3" t="str">
        <f t="shared" si="3"/>
        <v>RD103</v>
      </c>
      <c r="N38" s="3" t="str">
        <f t="shared" si="8"/>
        <v>hyderabad</v>
      </c>
      <c r="O38" s="3" t="str">
        <f t="shared" si="4"/>
        <v>HYDERABAD</v>
      </c>
      <c r="P38" s="3" t="str">
        <f t="shared" si="5"/>
        <v>Hyderabad</v>
      </c>
      <c r="Q38" s="3">
        <f t="shared" si="6"/>
        <v>1</v>
      </c>
    </row>
    <row r="39" spans="1:17">
      <c r="A39" t="s">
        <v>72</v>
      </c>
      <c r="B39" s="1">
        <v>45371</v>
      </c>
      <c r="C39" t="s">
        <v>18</v>
      </c>
      <c r="D39" t="s">
        <v>29</v>
      </c>
      <c r="E39" t="s">
        <v>44</v>
      </c>
      <c r="F39">
        <v>3</v>
      </c>
      <c r="G39">
        <v>1912.86</v>
      </c>
      <c r="H39">
        <v>5738.58</v>
      </c>
      <c r="I39" t="str">
        <f t="shared" si="7"/>
        <v>Normal Order</v>
      </c>
      <c r="J39" t="str">
        <f t="shared" si="0"/>
        <v>ValueShop - Kolkata</v>
      </c>
      <c r="K39">
        <f t="shared" si="1"/>
        <v>9</v>
      </c>
      <c r="L39" t="str">
        <f t="shared" si="2"/>
        <v>Gro</v>
      </c>
      <c r="M39" s="3" t="str">
        <f t="shared" si="3"/>
        <v>RD103</v>
      </c>
      <c r="N39" s="3" t="str">
        <f t="shared" si="8"/>
        <v>kolkata</v>
      </c>
      <c r="O39" s="3" t="str">
        <f t="shared" si="4"/>
        <v>KOLKATA</v>
      </c>
      <c r="P39" s="3" t="str">
        <f t="shared" si="5"/>
        <v>Kolkata</v>
      </c>
      <c r="Q39" s="3">
        <f t="shared" si="6"/>
        <v>1.7320508075688772</v>
      </c>
    </row>
    <row r="40" spans="1:17">
      <c r="A40" t="s">
        <v>73</v>
      </c>
      <c r="B40" s="1">
        <v>45402</v>
      </c>
      <c r="C40" t="s">
        <v>25</v>
      </c>
      <c r="D40" t="s">
        <v>50</v>
      </c>
      <c r="E40" t="s">
        <v>34</v>
      </c>
      <c r="F40">
        <v>1</v>
      </c>
      <c r="G40">
        <v>204.11</v>
      </c>
      <c r="H40">
        <v>204.11</v>
      </c>
      <c r="I40" t="str">
        <f t="shared" si="7"/>
        <v>Normal Order</v>
      </c>
      <c r="J40" t="str">
        <f t="shared" si="0"/>
        <v>QuickBuy - Mumbai</v>
      </c>
      <c r="K40">
        <f t="shared" si="1"/>
        <v>4</v>
      </c>
      <c r="L40" t="str">
        <f t="shared" si="2"/>
        <v>Toy</v>
      </c>
      <c r="M40" s="3" t="str">
        <f t="shared" si="3"/>
        <v>RD103</v>
      </c>
      <c r="N40" s="3" t="str">
        <f t="shared" si="8"/>
        <v>mumbai</v>
      </c>
      <c r="O40" s="3" t="str">
        <f t="shared" si="4"/>
        <v>MUMBAI</v>
      </c>
      <c r="P40" s="3" t="str">
        <f t="shared" si="5"/>
        <v>Mumbai</v>
      </c>
      <c r="Q40" s="3">
        <f t="shared" si="6"/>
        <v>1</v>
      </c>
    </row>
    <row r="41" spans="1:17">
      <c r="A41" t="s">
        <v>74</v>
      </c>
      <c r="B41" s="1">
        <v>45464</v>
      </c>
      <c r="C41" t="s">
        <v>22</v>
      </c>
      <c r="D41" t="s">
        <v>42</v>
      </c>
      <c r="E41" t="s">
        <v>23</v>
      </c>
      <c r="F41">
        <v>9</v>
      </c>
      <c r="G41">
        <v>1851.82</v>
      </c>
      <c r="H41">
        <v>16666.38</v>
      </c>
      <c r="I41" t="str">
        <f t="shared" si="7"/>
        <v>Normal Order</v>
      </c>
      <c r="J41" t="str">
        <f t="shared" si="0"/>
        <v>CityStore - Pune</v>
      </c>
      <c r="K41">
        <f t="shared" si="1"/>
        <v>8</v>
      </c>
      <c r="L41" t="str">
        <f t="shared" si="2"/>
        <v>Clo</v>
      </c>
      <c r="M41" s="3" t="str">
        <f t="shared" si="3"/>
        <v>RD103</v>
      </c>
      <c r="N41" s="3" t="str">
        <f t="shared" si="8"/>
        <v>pune</v>
      </c>
      <c r="O41" s="3" t="str">
        <f t="shared" si="4"/>
        <v>PUNE</v>
      </c>
      <c r="P41" s="3" t="str">
        <f t="shared" si="5"/>
        <v>Pune</v>
      </c>
      <c r="Q41" s="3">
        <f t="shared" si="6"/>
        <v>3</v>
      </c>
    </row>
    <row r="42" spans="1:17">
      <c r="A42" t="s">
        <v>75</v>
      </c>
      <c r="B42" s="1">
        <v>45344</v>
      </c>
      <c r="C42" t="s">
        <v>22</v>
      </c>
      <c r="D42" t="s">
        <v>50</v>
      </c>
      <c r="E42" t="s">
        <v>20</v>
      </c>
      <c r="F42">
        <v>7</v>
      </c>
      <c r="G42">
        <v>1329.15</v>
      </c>
      <c r="H42">
        <v>9304.0500000000011</v>
      </c>
      <c r="I42" t="str">
        <f t="shared" si="7"/>
        <v>Normal Order</v>
      </c>
      <c r="J42" t="str">
        <f t="shared" si="0"/>
        <v>CityStore - Mumbai</v>
      </c>
      <c r="K42">
        <f t="shared" si="1"/>
        <v>11</v>
      </c>
      <c r="L42" t="str">
        <f t="shared" si="2"/>
        <v>Ele</v>
      </c>
      <c r="M42" s="3" t="str">
        <f t="shared" si="3"/>
        <v>RD104</v>
      </c>
      <c r="N42" s="3" t="str">
        <f t="shared" si="8"/>
        <v>mumbai</v>
      </c>
      <c r="O42" s="3" t="str">
        <f t="shared" si="4"/>
        <v>MUMBAI</v>
      </c>
      <c r="P42" s="3" t="str">
        <f t="shared" si="5"/>
        <v>Mumbai</v>
      </c>
      <c r="Q42" s="3">
        <f t="shared" si="6"/>
        <v>2.6457513110645907</v>
      </c>
    </row>
    <row r="43" spans="1:17">
      <c r="A43" t="s">
        <v>76</v>
      </c>
      <c r="B43" s="1">
        <v>45339</v>
      </c>
      <c r="C43" t="s">
        <v>39</v>
      </c>
      <c r="D43" t="s">
        <v>19</v>
      </c>
      <c r="E43" t="s">
        <v>23</v>
      </c>
      <c r="F43">
        <v>5</v>
      </c>
      <c r="G43">
        <v>1507.31</v>
      </c>
      <c r="H43">
        <v>7536.5499999999993</v>
      </c>
      <c r="I43" t="str">
        <f t="shared" si="7"/>
        <v>Normal Order</v>
      </c>
      <c r="J43" t="str">
        <f t="shared" si="0"/>
        <v>Trendz - Bangalore</v>
      </c>
      <c r="K43">
        <f t="shared" si="1"/>
        <v>8</v>
      </c>
      <c r="L43" t="str">
        <f t="shared" si="2"/>
        <v>Clo</v>
      </c>
      <c r="M43" s="3" t="str">
        <f t="shared" si="3"/>
        <v>RD104</v>
      </c>
      <c r="N43" s="3" t="str">
        <f t="shared" si="8"/>
        <v>bangalore</v>
      </c>
      <c r="O43" s="3" t="str">
        <f t="shared" si="4"/>
        <v>BANGALORE</v>
      </c>
      <c r="P43" s="3" t="str">
        <f t="shared" si="5"/>
        <v>Bangalore</v>
      </c>
      <c r="Q43" s="3">
        <f t="shared" si="6"/>
        <v>2.2360679774997898</v>
      </c>
    </row>
    <row r="44" spans="1:17">
      <c r="A44" t="s">
        <v>77</v>
      </c>
      <c r="B44" s="1">
        <v>45486</v>
      </c>
      <c r="C44" t="s">
        <v>39</v>
      </c>
      <c r="D44" t="s">
        <v>37</v>
      </c>
      <c r="E44" t="s">
        <v>44</v>
      </c>
      <c r="F44">
        <v>18</v>
      </c>
      <c r="G44">
        <v>467.27</v>
      </c>
      <c r="H44">
        <v>8410.86</v>
      </c>
      <c r="I44" t="str">
        <f t="shared" si="7"/>
        <v>Bulk Order</v>
      </c>
      <c r="J44" t="str">
        <f t="shared" si="0"/>
        <v>Trendz - Hyderabad</v>
      </c>
      <c r="K44">
        <f t="shared" si="1"/>
        <v>9</v>
      </c>
      <c r="L44" t="str">
        <f t="shared" si="2"/>
        <v>Gro</v>
      </c>
      <c r="M44" s="3" t="str">
        <f t="shared" si="3"/>
        <v>RD104</v>
      </c>
      <c r="N44" s="3" t="str">
        <f t="shared" si="8"/>
        <v>hyderabad</v>
      </c>
      <c r="O44" s="3" t="str">
        <f t="shared" si="4"/>
        <v>HYDERABAD</v>
      </c>
      <c r="P44" s="3" t="str">
        <f t="shared" si="5"/>
        <v>Hyderabad</v>
      </c>
      <c r="Q44" s="3">
        <f t="shared" si="6"/>
        <v>4.2426406871192848</v>
      </c>
    </row>
    <row r="45" spans="1:17">
      <c r="A45" t="s">
        <v>78</v>
      </c>
      <c r="B45" s="1">
        <v>45341</v>
      </c>
      <c r="C45" t="s">
        <v>22</v>
      </c>
      <c r="D45" t="s">
        <v>26</v>
      </c>
      <c r="E45" t="s">
        <v>34</v>
      </c>
      <c r="F45">
        <v>20</v>
      </c>
      <c r="G45">
        <v>1664.51</v>
      </c>
      <c r="H45">
        <v>33290.199999999997</v>
      </c>
      <c r="I45" t="str">
        <f t="shared" si="7"/>
        <v>Bulk Order</v>
      </c>
      <c r="J45" t="str">
        <f t="shared" si="0"/>
        <v>CityStore - Delhi</v>
      </c>
      <c r="K45">
        <f t="shared" si="1"/>
        <v>4</v>
      </c>
      <c r="L45" t="str">
        <f t="shared" si="2"/>
        <v>Toy</v>
      </c>
      <c r="M45" s="3" t="str">
        <f t="shared" si="3"/>
        <v>RD104</v>
      </c>
      <c r="N45" s="3" t="str">
        <f t="shared" si="8"/>
        <v>delhi</v>
      </c>
      <c r="O45" s="3" t="str">
        <f t="shared" si="4"/>
        <v>DELHI</v>
      </c>
      <c r="P45" s="3" t="str">
        <f t="shared" si="5"/>
        <v>Delhi</v>
      </c>
      <c r="Q45" s="3">
        <f t="shared" si="6"/>
        <v>4.4721359549995796</v>
      </c>
    </row>
    <row r="46" spans="1:17">
      <c r="A46" t="s">
        <v>79</v>
      </c>
      <c r="B46" s="1">
        <v>45475</v>
      </c>
      <c r="C46" t="s">
        <v>25</v>
      </c>
      <c r="D46" t="s">
        <v>37</v>
      </c>
      <c r="E46" t="s">
        <v>27</v>
      </c>
      <c r="F46">
        <v>17</v>
      </c>
      <c r="G46">
        <v>578.71</v>
      </c>
      <c r="H46">
        <v>9838.07</v>
      </c>
      <c r="I46" t="str">
        <f t="shared" si="7"/>
        <v>Bulk Order</v>
      </c>
      <c r="J46" t="str">
        <f t="shared" si="0"/>
        <v>QuickBuy - Hyderabad</v>
      </c>
      <c r="K46">
        <f t="shared" si="1"/>
        <v>5</v>
      </c>
      <c r="L46" t="str">
        <f t="shared" si="2"/>
        <v>Boo</v>
      </c>
      <c r="M46" s="3" t="str">
        <f t="shared" si="3"/>
        <v>RD104</v>
      </c>
      <c r="N46" s="3" t="str">
        <f t="shared" si="8"/>
        <v>hyderabad</v>
      </c>
      <c r="O46" s="3" t="str">
        <f t="shared" si="4"/>
        <v>HYDERABAD</v>
      </c>
      <c r="P46" s="3" t="str">
        <f t="shared" si="5"/>
        <v>Hyderabad</v>
      </c>
      <c r="Q46" s="3">
        <f t="shared" si="6"/>
        <v>4.1231056256176606</v>
      </c>
    </row>
    <row r="47" spans="1:17">
      <c r="A47" t="s">
        <v>80</v>
      </c>
      <c r="B47" s="1">
        <v>45468</v>
      </c>
      <c r="C47" t="s">
        <v>25</v>
      </c>
      <c r="D47" t="s">
        <v>33</v>
      </c>
      <c r="E47" t="s">
        <v>34</v>
      </c>
      <c r="F47">
        <v>14</v>
      </c>
      <c r="G47">
        <v>1145.94</v>
      </c>
      <c r="H47">
        <v>16043.16</v>
      </c>
      <c r="I47" t="str">
        <f t="shared" si="7"/>
        <v>Bulk Order</v>
      </c>
      <c r="J47" t="str">
        <f t="shared" si="0"/>
        <v>QuickBuy - Chennai</v>
      </c>
      <c r="K47">
        <f t="shared" si="1"/>
        <v>4</v>
      </c>
      <c r="L47" t="str">
        <f t="shared" si="2"/>
        <v>Toy</v>
      </c>
      <c r="M47" s="3" t="str">
        <f t="shared" si="3"/>
        <v>RD104</v>
      </c>
      <c r="N47" s="3" t="str">
        <f t="shared" si="8"/>
        <v>chennai</v>
      </c>
      <c r="O47" s="3" t="str">
        <f t="shared" si="4"/>
        <v>CHENNAI</v>
      </c>
      <c r="P47" s="3" t="str">
        <f t="shared" si="5"/>
        <v>Chennai</v>
      </c>
      <c r="Q47" s="3">
        <f t="shared" si="6"/>
        <v>3.7416573867739413</v>
      </c>
    </row>
    <row r="48" spans="1:17">
      <c r="A48" t="s">
        <v>81</v>
      </c>
      <c r="B48" s="1">
        <v>45601</v>
      </c>
      <c r="C48" t="s">
        <v>18</v>
      </c>
      <c r="D48" t="s">
        <v>26</v>
      </c>
      <c r="E48" t="s">
        <v>34</v>
      </c>
      <c r="F48">
        <v>4</v>
      </c>
      <c r="G48">
        <v>579.66</v>
      </c>
      <c r="H48">
        <v>2318.64</v>
      </c>
      <c r="I48" t="str">
        <f t="shared" si="7"/>
        <v>Normal Order</v>
      </c>
      <c r="J48" t="str">
        <f t="shared" si="0"/>
        <v>ValueShop - Delhi</v>
      </c>
      <c r="K48">
        <f t="shared" si="1"/>
        <v>4</v>
      </c>
      <c r="L48" t="str">
        <f t="shared" si="2"/>
        <v>Toy</v>
      </c>
      <c r="M48" s="3" t="str">
        <f t="shared" si="3"/>
        <v>RD104</v>
      </c>
      <c r="N48" s="3" t="str">
        <f t="shared" si="8"/>
        <v>delhi</v>
      </c>
      <c r="O48" s="3" t="str">
        <f t="shared" si="4"/>
        <v>DELHI</v>
      </c>
      <c r="P48" s="3" t="str">
        <f t="shared" si="5"/>
        <v>Delhi</v>
      </c>
      <c r="Q48" s="3">
        <f t="shared" si="6"/>
        <v>2</v>
      </c>
    </row>
    <row r="49" spans="1:17">
      <c r="A49" t="s">
        <v>82</v>
      </c>
      <c r="B49" s="1">
        <v>45427</v>
      </c>
      <c r="C49" t="s">
        <v>39</v>
      </c>
      <c r="D49" t="s">
        <v>50</v>
      </c>
      <c r="E49" t="s">
        <v>27</v>
      </c>
      <c r="F49">
        <v>10</v>
      </c>
      <c r="G49">
        <v>262.99</v>
      </c>
      <c r="H49">
        <v>2629.9</v>
      </c>
      <c r="I49" t="str">
        <f t="shared" si="7"/>
        <v>Normal Order</v>
      </c>
      <c r="J49" t="str">
        <f t="shared" si="0"/>
        <v>Trendz - Mumbai</v>
      </c>
      <c r="K49">
        <f t="shared" si="1"/>
        <v>5</v>
      </c>
      <c r="L49" t="str">
        <f t="shared" si="2"/>
        <v>Boo</v>
      </c>
      <c r="M49" s="3" t="str">
        <f t="shared" si="3"/>
        <v>RD104</v>
      </c>
      <c r="N49" s="3" t="str">
        <f t="shared" si="8"/>
        <v>mumbai</v>
      </c>
      <c r="O49" s="3" t="str">
        <f t="shared" si="4"/>
        <v>MUMBAI</v>
      </c>
      <c r="P49" s="3" t="str">
        <f t="shared" si="5"/>
        <v>Mumbai</v>
      </c>
      <c r="Q49" s="3">
        <f t="shared" si="6"/>
        <v>3.1622776601683795</v>
      </c>
    </row>
    <row r="50" spans="1:17">
      <c r="A50" t="s">
        <v>83</v>
      </c>
      <c r="B50" s="1">
        <v>45314</v>
      </c>
      <c r="C50" t="s">
        <v>25</v>
      </c>
      <c r="D50" t="s">
        <v>29</v>
      </c>
      <c r="E50" t="s">
        <v>44</v>
      </c>
      <c r="F50">
        <v>8</v>
      </c>
      <c r="G50">
        <v>1494.74</v>
      </c>
      <c r="H50">
        <v>11957.92</v>
      </c>
      <c r="I50" t="str">
        <f t="shared" si="7"/>
        <v>Normal Order</v>
      </c>
      <c r="J50" t="str">
        <f t="shared" si="0"/>
        <v>QuickBuy - Kolkata</v>
      </c>
      <c r="K50">
        <f t="shared" si="1"/>
        <v>9</v>
      </c>
      <c r="L50" t="str">
        <f t="shared" si="2"/>
        <v>Gro</v>
      </c>
      <c r="M50" s="3" t="str">
        <f t="shared" si="3"/>
        <v>RD104</v>
      </c>
      <c r="N50" s="3" t="str">
        <f t="shared" si="8"/>
        <v>kolkata</v>
      </c>
      <c r="O50" s="3" t="str">
        <f t="shared" si="4"/>
        <v>KOLKATA</v>
      </c>
      <c r="P50" s="3" t="str">
        <f t="shared" si="5"/>
        <v>Kolkata</v>
      </c>
      <c r="Q50" s="3">
        <f t="shared" si="6"/>
        <v>2.8284271247461903</v>
      </c>
    </row>
    <row r="51" spans="1:17">
      <c r="A51" t="s">
        <v>84</v>
      </c>
      <c r="B51" s="1">
        <v>45527</v>
      </c>
      <c r="C51" t="s">
        <v>32</v>
      </c>
      <c r="D51" t="s">
        <v>26</v>
      </c>
      <c r="E51" t="s">
        <v>30</v>
      </c>
      <c r="F51">
        <v>10</v>
      </c>
      <c r="G51">
        <v>516.6</v>
      </c>
      <c r="H51">
        <v>5166</v>
      </c>
      <c r="I51" t="str">
        <f t="shared" si="7"/>
        <v>Normal Order</v>
      </c>
      <c r="J51" t="str">
        <f t="shared" si="0"/>
        <v>MegaMart - Delhi</v>
      </c>
      <c r="K51">
        <f t="shared" si="1"/>
        <v>14</v>
      </c>
      <c r="L51" t="str">
        <f t="shared" si="2"/>
        <v>Hom</v>
      </c>
      <c r="M51" s="3" t="str">
        <f t="shared" si="3"/>
        <v>RD104</v>
      </c>
      <c r="N51" s="3" t="str">
        <f t="shared" si="8"/>
        <v>delhi</v>
      </c>
      <c r="O51" s="3" t="str">
        <f t="shared" si="4"/>
        <v>DELHI</v>
      </c>
      <c r="P51" s="3" t="str">
        <f t="shared" si="5"/>
        <v>Delhi</v>
      </c>
      <c r="Q51" s="3">
        <f t="shared" si="6"/>
        <v>3.1622776601683795</v>
      </c>
    </row>
    <row r="52" spans="1:17">
      <c r="A52" t="s">
        <v>85</v>
      </c>
      <c r="B52" s="1">
        <v>45566</v>
      </c>
      <c r="C52" t="s">
        <v>18</v>
      </c>
      <c r="D52" t="s">
        <v>33</v>
      </c>
      <c r="E52" t="s">
        <v>34</v>
      </c>
      <c r="F52">
        <v>4</v>
      </c>
      <c r="G52">
        <v>148.99</v>
      </c>
      <c r="H52">
        <v>595.96</v>
      </c>
      <c r="I52" t="str">
        <f t="shared" si="7"/>
        <v>Normal Order</v>
      </c>
      <c r="J52" t="str">
        <f t="shared" si="0"/>
        <v>ValueShop - Chennai</v>
      </c>
      <c r="K52">
        <f t="shared" si="1"/>
        <v>4</v>
      </c>
      <c r="L52" t="str">
        <f t="shared" si="2"/>
        <v>Toy</v>
      </c>
      <c r="M52" s="3" t="str">
        <f t="shared" si="3"/>
        <v>RD105</v>
      </c>
      <c r="N52" s="3" t="str">
        <f t="shared" si="8"/>
        <v>chennai</v>
      </c>
      <c r="O52" s="3" t="str">
        <f t="shared" si="4"/>
        <v>CHENNAI</v>
      </c>
      <c r="P52" s="3" t="str">
        <f t="shared" si="5"/>
        <v>Chennai</v>
      </c>
      <c r="Q52" s="3">
        <f t="shared" si="6"/>
        <v>2</v>
      </c>
    </row>
    <row r="53" spans="1:17">
      <c r="A53" t="s">
        <v>86</v>
      </c>
      <c r="B53" s="1">
        <v>45355</v>
      </c>
      <c r="C53" t="s">
        <v>18</v>
      </c>
      <c r="D53" t="s">
        <v>26</v>
      </c>
      <c r="E53" t="s">
        <v>34</v>
      </c>
      <c r="F53">
        <v>2</v>
      </c>
      <c r="G53">
        <v>1815.11</v>
      </c>
      <c r="H53">
        <v>3630.22</v>
      </c>
      <c r="I53" t="str">
        <f t="shared" si="7"/>
        <v>Normal Order</v>
      </c>
      <c r="J53" t="str">
        <f t="shared" si="0"/>
        <v>ValueShop - Delhi</v>
      </c>
      <c r="K53">
        <f t="shared" si="1"/>
        <v>4</v>
      </c>
      <c r="L53" t="str">
        <f t="shared" si="2"/>
        <v>Toy</v>
      </c>
      <c r="M53" s="3" t="str">
        <f t="shared" si="3"/>
        <v>RD105</v>
      </c>
      <c r="N53" s="3" t="str">
        <f t="shared" si="8"/>
        <v>delhi</v>
      </c>
      <c r="O53" s="3" t="str">
        <f t="shared" si="4"/>
        <v>DELHI</v>
      </c>
      <c r="P53" s="3" t="str">
        <f t="shared" si="5"/>
        <v>Delhi</v>
      </c>
      <c r="Q53" s="3">
        <f t="shared" si="6"/>
        <v>1.4142135623730951</v>
      </c>
    </row>
    <row r="54" spans="1:17">
      <c r="A54" t="s">
        <v>87</v>
      </c>
      <c r="B54" s="1">
        <v>45485</v>
      </c>
      <c r="C54" t="s">
        <v>22</v>
      </c>
      <c r="D54" t="s">
        <v>42</v>
      </c>
      <c r="E54" t="s">
        <v>44</v>
      </c>
      <c r="F54">
        <v>8</v>
      </c>
      <c r="G54">
        <v>490.06</v>
      </c>
      <c r="H54">
        <v>3920.48</v>
      </c>
      <c r="I54" t="str">
        <f t="shared" si="7"/>
        <v>Normal Order</v>
      </c>
      <c r="J54" t="str">
        <f t="shared" si="0"/>
        <v>CityStore - Pune</v>
      </c>
      <c r="K54">
        <f t="shared" si="1"/>
        <v>9</v>
      </c>
      <c r="L54" t="str">
        <f t="shared" si="2"/>
        <v>Gro</v>
      </c>
      <c r="M54" s="3" t="str">
        <f t="shared" si="3"/>
        <v>RD105</v>
      </c>
      <c r="N54" s="3" t="str">
        <f t="shared" si="8"/>
        <v>pune</v>
      </c>
      <c r="O54" s="3" t="str">
        <f t="shared" si="4"/>
        <v>PUNE</v>
      </c>
      <c r="P54" s="3" t="str">
        <f t="shared" si="5"/>
        <v>Pune</v>
      </c>
      <c r="Q54" s="3">
        <f t="shared" si="6"/>
        <v>2.8284271247461903</v>
      </c>
    </row>
    <row r="55" spans="1:17">
      <c r="A55" t="s">
        <v>88</v>
      </c>
      <c r="B55" s="1">
        <v>45332</v>
      </c>
      <c r="C55" t="s">
        <v>39</v>
      </c>
      <c r="D55" t="s">
        <v>29</v>
      </c>
      <c r="E55" t="s">
        <v>30</v>
      </c>
      <c r="F55">
        <v>14</v>
      </c>
      <c r="G55">
        <v>504.03</v>
      </c>
      <c r="H55">
        <v>7056.42</v>
      </c>
      <c r="I55" t="str">
        <f t="shared" si="7"/>
        <v>Bulk Order</v>
      </c>
      <c r="J55" t="str">
        <f t="shared" si="0"/>
        <v>Trendz - Kolkata</v>
      </c>
      <c r="K55">
        <f t="shared" si="1"/>
        <v>14</v>
      </c>
      <c r="L55" t="str">
        <f t="shared" si="2"/>
        <v>Hom</v>
      </c>
      <c r="M55" s="3" t="str">
        <f t="shared" si="3"/>
        <v>RD105</v>
      </c>
      <c r="N55" s="3" t="str">
        <f t="shared" si="8"/>
        <v>kolkata</v>
      </c>
      <c r="O55" s="3" t="str">
        <f t="shared" si="4"/>
        <v>KOLKATA</v>
      </c>
      <c r="P55" s="3" t="str">
        <f t="shared" si="5"/>
        <v>Kolkata</v>
      </c>
      <c r="Q55" s="3">
        <f t="shared" si="6"/>
        <v>3.7416573867739413</v>
      </c>
    </row>
    <row r="56" spans="1:17">
      <c r="A56" t="s">
        <v>89</v>
      </c>
      <c r="B56" s="1">
        <v>45574</v>
      </c>
      <c r="C56" t="s">
        <v>25</v>
      </c>
      <c r="D56" t="s">
        <v>50</v>
      </c>
      <c r="E56" t="s">
        <v>34</v>
      </c>
      <c r="F56">
        <v>20</v>
      </c>
      <c r="G56">
        <v>245.39</v>
      </c>
      <c r="H56">
        <v>4907.7999999999993</v>
      </c>
      <c r="I56" t="str">
        <f t="shared" si="7"/>
        <v>Bulk Order</v>
      </c>
      <c r="J56" t="str">
        <f t="shared" si="0"/>
        <v>QuickBuy - Mumbai</v>
      </c>
      <c r="K56">
        <f t="shared" si="1"/>
        <v>4</v>
      </c>
      <c r="L56" t="str">
        <f t="shared" si="2"/>
        <v>Toy</v>
      </c>
      <c r="M56" s="3" t="str">
        <f t="shared" si="3"/>
        <v>RD105</v>
      </c>
      <c r="N56" s="3" t="str">
        <f t="shared" si="8"/>
        <v>mumbai</v>
      </c>
      <c r="O56" s="3" t="str">
        <f t="shared" si="4"/>
        <v>MUMBAI</v>
      </c>
      <c r="P56" s="3" t="str">
        <f t="shared" si="5"/>
        <v>Mumbai</v>
      </c>
      <c r="Q56" s="3">
        <f t="shared" si="6"/>
        <v>4.4721359549995796</v>
      </c>
    </row>
    <row r="57" spans="1:17">
      <c r="A57" t="s">
        <v>90</v>
      </c>
      <c r="B57" s="1">
        <v>45442</v>
      </c>
      <c r="C57" t="s">
        <v>25</v>
      </c>
      <c r="D57" t="s">
        <v>33</v>
      </c>
      <c r="E57" t="s">
        <v>34</v>
      </c>
      <c r="F57">
        <v>15</v>
      </c>
      <c r="G57">
        <v>694.07</v>
      </c>
      <c r="H57">
        <v>10411.049999999999</v>
      </c>
      <c r="I57" t="str">
        <f t="shared" si="7"/>
        <v>Bulk Order</v>
      </c>
      <c r="J57" t="str">
        <f t="shared" si="0"/>
        <v>QuickBuy - Chennai</v>
      </c>
      <c r="K57">
        <f t="shared" si="1"/>
        <v>4</v>
      </c>
      <c r="L57" t="str">
        <f t="shared" si="2"/>
        <v>Toy</v>
      </c>
      <c r="M57" s="3" t="str">
        <f t="shared" si="3"/>
        <v>RD105</v>
      </c>
      <c r="N57" s="3" t="str">
        <f t="shared" si="8"/>
        <v>chennai</v>
      </c>
      <c r="O57" s="3" t="str">
        <f t="shared" si="4"/>
        <v>CHENNAI</v>
      </c>
      <c r="P57" s="3" t="str">
        <f t="shared" si="5"/>
        <v>Chennai</v>
      </c>
      <c r="Q57" s="3">
        <f t="shared" si="6"/>
        <v>3.872983346207417</v>
      </c>
    </row>
    <row r="58" spans="1:17">
      <c r="A58" t="s">
        <v>91</v>
      </c>
      <c r="B58" s="1">
        <v>45613</v>
      </c>
      <c r="C58" t="s">
        <v>18</v>
      </c>
      <c r="D58" t="s">
        <v>42</v>
      </c>
      <c r="E58" t="s">
        <v>30</v>
      </c>
      <c r="F58">
        <v>3</v>
      </c>
      <c r="G58">
        <v>971.19</v>
      </c>
      <c r="H58">
        <v>2913.57</v>
      </c>
      <c r="I58" t="str">
        <f t="shared" si="7"/>
        <v>Normal Order</v>
      </c>
      <c r="J58" t="str">
        <f t="shared" si="0"/>
        <v>ValueShop - Pune</v>
      </c>
      <c r="K58">
        <f t="shared" si="1"/>
        <v>14</v>
      </c>
      <c r="L58" t="str">
        <f t="shared" si="2"/>
        <v>Hom</v>
      </c>
      <c r="M58" s="3" t="str">
        <f t="shared" si="3"/>
        <v>RD105</v>
      </c>
      <c r="N58" s="3" t="str">
        <f t="shared" si="8"/>
        <v>pune</v>
      </c>
      <c r="O58" s="3" t="str">
        <f t="shared" si="4"/>
        <v>PUNE</v>
      </c>
      <c r="P58" s="3" t="str">
        <f t="shared" si="5"/>
        <v>Pune</v>
      </c>
      <c r="Q58" s="3">
        <f t="shared" si="6"/>
        <v>1.7320508075688772</v>
      </c>
    </row>
    <row r="59" spans="1:17">
      <c r="A59" t="s">
        <v>92</v>
      </c>
      <c r="B59" s="1">
        <v>45608</v>
      </c>
      <c r="C59" t="s">
        <v>39</v>
      </c>
      <c r="D59" t="s">
        <v>19</v>
      </c>
      <c r="E59" t="s">
        <v>20</v>
      </c>
      <c r="F59">
        <v>4</v>
      </c>
      <c r="G59">
        <v>1378.32</v>
      </c>
      <c r="H59">
        <v>5513.28</v>
      </c>
      <c r="I59" t="str">
        <f t="shared" si="7"/>
        <v>Normal Order</v>
      </c>
      <c r="J59" t="str">
        <f t="shared" si="0"/>
        <v>Trendz - Bangalore</v>
      </c>
      <c r="K59">
        <f t="shared" si="1"/>
        <v>11</v>
      </c>
      <c r="L59" t="str">
        <f t="shared" si="2"/>
        <v>Ele</v>
      </c>
      <c r="M59" s="3" t="str">
        <f t="shared" si="3"/>
        <v>RD105</v>
      </c>
      <c r="N59" s="3" t="str">
        <f t="shared" si="8"/>
        <v>bangalore</v>
      </c>
      <c r="O59" s="3" t="str">
        <f t="shared" si="4"/>
        <v>BANGALORE</v>
      </c>
      <c r="P59" s="3" t="str">
        <f t="shared" si="5"/>
        <v>Bangalore</v>
      </c>
      <c r="Q59" s="3">
        <f t="shared" si="6"/>
        <v>2</v>
      </c>
    </row>
    <row r="60" spans="1:17">
      <c r="A60" t="s">
        <v>93</v>
      </c>
      <c r="B60" s="1">
        <v>45477</v>
      </c>
      <c r="C60" t="s">
        <v>39</v>
      </c>
      <c r="D60" t="s">
        <v>37</v>
      </c>
      <c r="E60" t="s">
        <v>27</v>
      </c>
      <c r="F60">
        <v>16</v>
      </c>
      <c r="G60">
        <v>318.06</v>
      </c>
      <c r="H60">
        <v>5088.96</v>
      </c>
      <c r="I60" t="str">
        <f t="shared" si="7"/>
        <v>Bulk Order</v>
      </c>
      <c r="J60" t="str">
        <f t="shared" si="0"/>
        <v>Trendz - Hyderabad</v>
      </c>
      <c r="K60">
        <f t="shared" si="1"/>
        <v>5</v>
      </c>
      <c r="L60" t="str">
        <f t="shared" si="2"/>
        <v>Boo</v>
      </c>
      <c r="M60" s="3" t="str">
        <f t="shared" si="3"/>
        <v>RD105</v>
      </c>
      <c r="N60" s="3" t="str">
        <f t="shared" si="8"/>
        <v>hyderabad</v>
      </c>
      <c r="O60" s="3" t="str">
        <f t="shared" si="4"/>
        <v>HYDERABAD</v>
      </c>
      <c r="P60" s="3" t="str">
        <f t="shared" si="5"/>
        <v>Hyderabad</v>
      </c>
      <c r="Q60" s="3">
        <f t="shared" si="6"/>
        <v>4</v>
      </c>
    </row>
    <row r="61" spans="1:17">
      <c r="A61" t="s">
        <v>94</v>
      </c>
      <c r="B61" s="1">
        <v>45587</v>
      </c>
      <c r="C61" t="s">
        <v>39</v>
      </c>
      <c r="D61" t="s">
        <v>42</v>
      </c>
      <c r="E61" t="s">
        <v>20</v>
      </c>
      <c r="F61">
        <v>20</v>
      </c>
      <c r="G61">
        <v>1930.81</v>
      </c>
      <c r="H61">
        <v>38616.199999999997</v>
      </c>
      <c r="I61" t="str">
        <f t="shared" si="7"/>
        <v>Bulk Order</v>
      </c>
      <c r="J61" t="str">
        <f t="shared" si="0"/>
        <v>Trendz - Pune</v>
      </c>
      <c r="K61">
        <f t="shared" si="1"/>
        <v>11</v>
      </c>
      <c r="L61" t="str">
        <f t="shared" si="2"/>
        <v>Ele</v>
      </c>
      <c r="M61" s="3" t="str">
        <f t="shared" si="3"/>
        <v>RD105</v>
      </c>
      <c r="N61" s="3" t="str">
        <f t="shared" si="8"/>
        <v>pune</v>
      </c>
      <c r="O61" s="3" t="str">
        <f t="shared" si="4"/>
        <v>PUNE</v>
      </c>
      <c r="P61" s="3" t="str">
        <f t="shared" si="5"/>
        <v>Pune</v>
      </c>
      <c r="Q61" s="3">
        <f t="shared" si="6"/>
        <v>4.4721359549995796</v>
      </c>
    </row>
    <row r="62" spans="1:17">
      <c r="A62" t="s">
        <v>95</v>
      </c>
      <c r="B62" s="1">
        <v>45390</v>
      </c>
      <c r="C62" t="s">
        <v>22</v>
      </c>
      <c r="D62" t="s">
        <v>19</v>
      </c>
      <c r="E62" t="s">
        <v>27</v>
      </c>
      <c r="F62">
        <v>18</v>
      </c>
      <c r="G62">
        <v>1956.93</v>
      </c>
      <c r="H62">
        <v>35224.74</v>
      </c>
      <c r="I62" t="str">
        <f t="shared" si="7"/>
        <v>Bulk Order</v>
      </c>
      <c r="J62" t="str">
        <f t="shared" si="0"/>
        <v>CityStore - Bangalore</v>
      </c>
      <c r="K62">
        <f t="shared" si="1"/>
        <v>5</v>
      </c>
      <c r="L62" t="str">
        <f t="shared" si="2"/>
        <v>Boo</v>
      </c>
      <c r="M62" s="3" t="str">
        <f t="shared" si="3"/>
        <v>RD106</v>
      </c>
      <c r="N62" s="3" t="str">
        <f t="shared" si="8"/>
        <v>bangalore</v>
      </c>
      <c r="O62" s="3" t="str">
        <f t="shared" si="4"/>
        <v>BANGALORE</v>
      </c>
      <c r="P62" s="3" t="str">
        <f t="shared" si="5"/>
        <v>Bangalore</v>
      </c>
      <c r="Q62" s="3">
        <f t="shared" si="6"/>
        <v>4.2426406871192848</v>
      </c>
    </row>
    <row r="63" spans="1:17">
      <c r="A63" t="s">
        <v>96</v>
      </c>
      <c r="B63" s="1">
        <v>45652</v>
      </c>
      <c r="C63" t="s">
        <v>25</v>
      </c>
      <c r="D63" t="s">
        <v>33</v>
      </c>
      <c r="E63" t="s">
        <v>27</v>
      </c>
      <c r="F63">
        <v>1</v>
      </c>
      <c r="G63">
        <v>357.99</v>
      </c>
      <c r="H63">
        <v>357.99</v>
      </c>
      <c r="I63" t="str">
        <f t="shared" si="7"/>
        <v>Normal Order</v>
      </c>
      <c r="J63" t="str">
        <f t="shared" si="0"/>
        <v>QuickBuy - Chennai</v>
      </c>
      <c r="K63">
        <f t="shared" si="1"/>
        <v>5</v>
      </c>
      <c r="L63" t="str">
        <f t="shared" si="2"/>
        <v>Boo</v>
      </c>
      <c r="M63" s="3" t="str">
        <f t="shared" si="3"/>
        <v>RD106</v>
      </c>
      <c r="N63" s="3" t="str">
        <f t="shared" si="8"/>
        <v>chennai</v>
      </c>
      <c r="O63" s="3" t="str">
        <f t="shared" si="4"/>
        <v>CHENNAI</v>
      </c>
      <c r="P63" s="3" t="str">
        <f t="shared" si="5"/>
        <v>Chennai</v>
      </c>
      <c r="Q63" s="3">
        <f t="shared" si="6"/>
        <v>1</v>
      </c>
    </row>
    <row r="64" spans="1:17">
      <c r="A64" t="s">
        <v>97</v>
      </c>
      <c r="B64" s="1">
        <v>45327</v>
      </c>
      <c r="C64" t="s">
        <v>39</v>
      </c>
      <c r="D64" t="s">
        <v>29</v>
      </c>
      <c r="E64" t="s">
        <v>34</v>
      </c>
      <c r="F64">
        <v>17</v>
      </c>
      <c r="G64">
        <v>1323.14</v>
      </c>
      <c r="H64">
        <v>22493.38</v>
      </c>
      <c r="I64" t="str">
        <f t="shared" si="7"/>
        <v>Bulk Order</v>
      </c>
      <c r="J64" t="str">
        <f t="shared" si="0"/>
        <v>Trendz - Kolkata</v>
      </c>
      <c r="K64">
        <f t="shared" si="1"/>
        <v>4</v>
      </c>
      <c r="L64" t="str">
        <f t="shared" si="2"/>
        <v>Toy</v>
      </c>
      <c r="M64" s="3" t="str">
        <f t="shared" si="3"/>
        <v>RD106</v>
      </c>
      <c r="N64" s="3" t="str">
        <f t="shared" si="8"/>
        <v>kolkata</v>
      </c>
      <c r="O64" s="3" t="str">
        <f t="shared" si="4"/>
        <v>KOLKATA</v>
      </c>
      <c r="P64" s="3" t="str">
        <f t="shared" si="5"/>
        <v>Kolkata</v>
      </c>
      <c r="Q64" s="3">
        <f t="shared" si="6"/>
        <v>4.1231056256176606</v>
      </c>
    </row>
    <row r="65" spans="1:17">
      <c r="A65" t="s">
        <v>98</v>
      </c>
      <c r="B65" s="1">
        <v>45315</v>
      </c>
      <c r="C65" t="s">
        <v>22</v>
      </c>
      <c r="D65" t="s">
        <v>33</v>
      </c>
      <c r="E65" t="s">
        <v>27</v>
      </c>
      <c r="F65">
        <v>19</v>
      </c>
      <c r="G65">
        <v>1767.26</v>
      </c>
      <c r="H65">
        <v>33577.94</v>
      </c>
      <c r="I65" t="str">
        <f t="shared" si="7"/>
        <v>Bulk Order</v>
      </c>
      <c r="J65" t="str">
        <f t="shared" si="0"/>
        <v>CityStore - Chennai</v>
      </c>
      <c r="K65">
        <f t="shared" si="1"/>
        <v>5</v>
      </c>
      <c r="L65" t="str">
        <f t="shared" si="2"/>
        <v>Boo</v>
      </c>
      <c r="M65" s="3" t="str">
        <f t="shared" si="3"/>
        <v>RD106</v>
      </c>
      <c r="N65" s="3" t="str">
        <f t="shared" si="8"/>
        <v>chennai</v>
      </c>
      <c r="O65" s="3" t="str">
        <f t="shared" si="4"/>
        <v>CHENNAI</v>
      </c>
      <c r="P65" s="3" t="str">
        <f t="shared" si="5"/>
        <v>Chennai</v>
      </c>
      <c r="Q65" s="3">
        <f t="shared" si="6"/>
        <v>4.358898943540674</v>
      </c>
    </row>
    <row r="66" spans="1:17">
      <c r="A66" t="s">
        <v>99</v>
      </c>
      <c r="B66" s="1">
        <v>45630</v>
      </c>
      <c r="C66" t="s">
        <v>32</v>
      </c>
      <c r="D66" t="s">
        <v>33</v>
      </c>
      <c r="E66" t="s">
        <v>23</v>
      </c>
      <c r="F66">
        <v>8</v>
      </c>
      <c r="G66">
        <v>977.61</v>
      </c>
      <c r="H66">
        <v>7820.88</v>
      </c>
      <c r="I66" t="str">
        <f t="shared" si="7"/>
        <v>Normal Order</v>
      </c>
      <c r="J66" t="str">
        <f t="shared" ref="J66:J129" si="9">_xlfn.CONCAT(C66, " - ", D66)</f>
        <v>MegaMart - Chennai</v>
      </c>
      <c r="K66">
        <f t="shared" ref="K66:K129" si="10">LEN(E66)</f>
        <v>8</v>
      </c>
      <c r="L66" t="str">
        <f t="shared" ref="L66:L129" si="11">LEFT(E66, 3)</f>
        <v>Clo</v>
      </c>
      <c r="M66" s="3" t="str">
        <f t="shared" ref="M66:M129" si="12">MID(A66, 2, 5)</f>
        <v>RD106</v>
      </c>
      <c r="N66" s="3" t="str">
        <f t="shared" ref="N66:N129" si="13">LOWER(D66)</f>
        <v>chennai</v>
      </c>
      <c r="O66" s="3" t="str">
        <f t="shared" ref="O66:O129" si="14">UPPER(D66)</f>
        <v>CHENNAI</v>
      </c>
      <c r="P66" s="3" t="str">
        <f t="shared" ref="P66:P129" si="15">PROPER(D66)</f>
        <v>Chennai</v>
      </c>
      <c r="Q66" s="3">
        <f t="shared" ref="Q66:Q129" si="16">SQRT(F66)</f>
        <v>2.8284271247461903</v>
      </c>
    </row>
    <row r="67" spans="1:17">
      <c r="A67" t="s">
        <v>100</v>
      </c>
      <c r="B67" s="1">
        <v>45408</v>
      </c>
      <c r="C67" t="s">
        <v>18</v>
      </c>
      <c r="D67" t="s">
        <v>50</v>
      </c>
      <c r="E67" t="s">
        <v>30</v>
      </c>
      <c r="F67">
        <v>5</v>
      </c>
      <c r="G67">
        <v>1318.55</v>
      </c>
      <c r="H67">
        <v>6592.75</v>
      </c>
      <c r="I67" t="str">
        <f t="shared" ref="I67:I130" si="17">IF(F67&gt;10,"Bulk Order","Normal Order")</f>
        <v>Normal Order</v>
      </c>
      <c r="J67" t="str">
        <f t="shared" si="9"/>
        <v>ValueShop - Mumbai</v>
      </c>
      <c r="K67">
        <f t="shared" si="10"/>
        <v>14</v>
      </c>
      <c r="L67" t="str">
        <f t="shared" si="11"/>
        <v>Hom</v>
      </c>
      <c r="M67" s="3" t="str">
        <f t="shared" si="12"/>
        <v>RD106</v>
      </c>
      <c r="N67" s="3" t="str">
        <f t="shared" si="13"/>
        <v>mumbai</v>
      </c>
      <c r="O67" s="3" t="str">
        <f t="shared" si="14"/>
        <v>MUMBAI</v>
      </c>
      <c r="P67" s="3" t="str">
        <f t="shared" si="15"/>
        <v>Mumbai</v>
      </c>
      <c r="Q67" s="3">
        <f t="shared" si="16"/>
        <v>2.2360679774997898</v>
      </c>
    </row>
    <row r="68" spans="1:17">
      <c r="A68" t="s">
        <v>101</v>
      </c>
      <c r="B68" s="1">
        <v>45440</v>
      </c>
      <c r="C68" t="s">
        <v>25</v>
      </c>
      <c r="D68" t="s">
        <v>33</v>
      </c>
      <c r="E68" t="s">
        <v>30</v>
      </c>
      <c r="F68">
        <v>10</v>
      </c>
      <c r="G68">
        <v>1524.03</v>
      </c>
      <c r="H68">
        <v>15240.3</v>
      </c>
      <c r="I68" t="str">
        <f t="shared" si="17"/>
        <v>Normal Order</v>
      </c>
      <c r="J68" t="str">
        <f t="shared" si="9"/>
        <v>QuickBuy - Chennai</v>
      </c>
      <c r="K68">
        <f t="shared" si="10"/>
        <v>14</v>
      </c>
      <c r="L68" t="str">
        <f t="shared" si="11"/>
        <v>Hom</v>
      </c>
      <c r="M68" s="3" t="str">
        <f t="shared" si="12"/>
        <v>RD106</v>
      </c>
      <c r="N68" s="3" t="str">
        <f t="shared" si="13"/>
        <v>chennai</v>
      </c>
      <c r="O68" s="3" t="str">
        <f t="shared" si="14"/>
        <v>CHENNAI</v>
      </c>
      <c r="P68" s="3" t="str">
        <f t="shared" si="15"/>
        <v>Chennai</v>
      </c>
      <c r="Q68" s="3">
        <f t="shared" si="16"/>
        <v>3.1622776601683795</v>
      </c>
    </row>
    <row r="69" spans="1:17">
      <c r="A69" t="s">
        <v>102</v>
      </c>
      <c r="B69" s="1">
        <v>45332</v>
      </c>
      <c r="C69" t="s">
        <v>25</v>
      </c>
      <c r="D69" t="s">
        <v>37</v>
      </c>
      <c r="E69" t="s">
        <v>23</v>
      </c>
      <c r="F69">
        <v>14</v>
      </c>
      <c r="G69">
        <v>610.13</v>
      </c>
      <c r="H69">
        <v>8541.82</v>
      </c>
      <c r="I69" t="str">
        <f t="shared" si="17"/>
        <v>Bulk Order</v>
      </c>
      <c r="J69" t="str">
        <f t="shared" si="9"/>
        <v>QuickBuy - Hyderabad</v>
      </c>
      <c r="K69">
        <f t="shared" si="10"/>
        <v>8</v>
      </c>
      <c r="L69" t="str">
        <f t="shared" si="11"/>
        <v>Clo</v>
      </c>
      <c r="M69" s="3" t="str">
        <f t="shared" si="12"/>
        <v>RD106</v>
      </c>
      <c r="N69" s="3" t="str">
        <f t="shared" si="13"/>
        <v>hyderabad</v>
      </c>
      <c r="O69" s="3" t="str">
        <f t="shared" si="14"/>
        <v>HYDERABAD</v>
      </c>
      <c r="P69" s="3" t="str">
        <f t="shared" si="15"/>
        <v>Hyderabad</v>
      </c>
      <c r="Q69" s="3">
        <f t="shared" si="16"/>
        <v>3.7416573867739413</v>
      </c>
    </row>
    <row r="70" spans="1:17">
      <c r="A70" t="s">
        <v>103</v>
      </c>
      <c r="B70" s="1">
        <v>45411</v>
      </c>
      <c r="C70" t="s">
        <v>18</v>
      </c>
      <c r="D70" t="s">
        <v>50</v>
      </c>
      <c r="E70" t="s">
        <v>30</v>
      </c>
      <c r="F70">
        <v>1</v>
      </c>
      <c r="G70">
        <v>606.55999999999995</v>
      </c>
      <c r="H70">
        <v>606.55999999999995</v>
      </c>
      <c r="I70" t="str">
        <f t="shared" si="17"/>
        <v>Normal Order</v>
      </c>
      <c r="J70" t="str">
        <f t="shared" si="9"/>
        <v>ValueShop - Mumbai</v>
      </c>
      <c r="K70">
        <f t="shared" si="10"/>
        <v>14</v>
      </c>
      <c r="L70" t="str">
        <f t="shared" si="11"/>
        <v>Hom</v>
      </c>
      <c r="M70" s="3" t="str">
        <f t="shared" si="12"/>
        <v>RD106</v>
      </c>
      <c r="N70" s="3" t="str">
        <f t="shared" si="13"/>
        <v>mumbai</v>
      </c>
      <c r="O70" s="3" t="str">
        <f t="shared" si="14"/>
        <v>MUMBAI</v>
      </c>
      <c r="P70" s="3" t="str">
        <f t="shared" si="15"/>
        <v>Mumbai</v>
      </c>
      <c r="Q70" s="3">
        <f t="shared" si="16"/>
        <v>1</v>
      </c>
    </row>
    <row r="71" spans="1:17">
      <c r="A71" t="s">
        <v>104</v>
      </c>
      <c r="B71" s="1">
        <v>45343</v>
      </c>
      <c r="C71" t="s">
        <v>32</v>
      </c>
      <c r="D71" t="s">
        <v>33</v>
      </c>
      <c r="E71" t="s">
        <v>44</v>
      </c>
      <c r="F71">
        <v>20</v>
      </c>
      <c r="G71">
        <v>165.37</v>
      </c>
      <c r="H71">
        <v>3307.4</v>
      </c>
      <c r="I71" t="str">
        <f t="shared" si="17"/>
        <v>Bulk Order</v>
      </c>
      <c r="J71" t="str">
        <f t="shared" si="9"/>
        <v>MegaMart - Chennai</v>
      </c>
      <c r="K71">
        <f t="shared" si="10"/>
        <v>9</v>
      </c>
      <c r="L71" t="str">
        <f t="shared" si="11"/>
        <v>Gro</v>
      </c>
      <c r="M71" s="3" t="str">
        <f t="shared" si="12"/>
        <v>RD106</v>
      </c>
      <c r="N71" s="3" t="str">
        <f t="shared" si="13"/>
        <v>chennai</v>
      </c>
      <c r="O71" s="3" t="str">
        <f t="shared" si="14"/>
        <v>CHENNAI</v>
      </c>
      <c r="P71" s="3" t="str">
        <f t="shared" si="15"/>
        <v>Chennai</v>
      </c>
      <c r="Q71" s="3">
        <f t="shared" si="16"/>
        <v>4.4721359549995796</v>
      </c>
    </row>
    <row r="72" spans="1:17">
      <c r="A72" t="s">
        <v>105</v>
      </c>
      <c r="B72" s="1">
        <v>45486</v>
      </c>
      <c r="C72" t="s">
        <v>22</v>
      </c>
      <c r="D72" t="s">
        <v>50</v>
      </c>
      <c r="E72" t="s">
        <v>30</v>
      </c>
      <c r="F72">
        <v>12</v>
      </c>
      <c r="G72">
        <v>1549.01</v>
      </c>
      <c r="H72">
        <v>18588.12</v>
      </c>
      <c r="I72" t="str">
        <f t="shared" si="17"/>
        <v>Bulk Order</v>
      </c>
      <c r="J72" t="str">
        <f t="shared" si="9"/>
        <v>CityStore - Mumbai</v>
      </c>
      <c r="K72">
        <f t="shared" si="10"/>
        <v>14</v>
      </c>
      <c r="L72" t="str">
        <f t="shared" si="11"/>
        <v>Hom</v>
      </c>
      <c r="M72" s="3" t="str">
        <f t="shared" si="12"/>
        <v>RD107</v>
      </c>
      <c r="N72" s="3" t="str">
        <f t="shared" si="13"/>
        <v>mumbai</v>
      </c>
      <c r="O72" s="3" t="str">
        <f t="shared" si="14"/>
        <v>MUMBAI</v>
      </c>
      <c r="P72" s="3" t="str">
        <f t="shared" si="15"/>
        <v>Mumbai</v>
      </c>
      <c r="Q72" s="3">
        <f t="shared" si="16"/>
        <v>3.4641016151377544</v>
      </c>
    </row>
    <row r="73" spans="1:17">
      <c r="A73" t="s">
        <v>106</v>
      </c>
      <c r="B73" s="1">
        <v>45434</v>
      </c>
      <c r="C73" t="s">
        <v>18</v>
      </c>
      <c r="D73" t="s">
        <v>37</v>
      </c>
      <c r="E73" t="s">
        <v>30</v>
      </c>
      <c r="F73">
        <v>8</v>
      </c>
      <c r="G73">
        <v>1321.98</v>
      </c>
      <c r="H73">
        <v>10575.84</v>
      </c>
      <c r="I73" t="str">
        <f t="shared" si="17"/>
        <v>Normal Order</v>
      </c>
      <c r="J73" t="str">
        <f t="shared" si="9"/>
        <v>ValueShop - Hyderabad</v>
      </c>
      <c r="K73">
        <f t="shared" si="10"/>
        <v>14</v>
      </c>
      <c r="L73" t="str">
        <f t="shared" si="11"/>
        <v>Hom</v>
      </c>
      <c r="M73" s="3" t="str">
        <f t="shared" si="12"/>
        <v>RD107</v>
      </c>
      <c r="N73" s="3" t="str">
        <f t="shared" si="13"/>
        <v>hyderabad</v>
      </c>
      <c r="O73" s="3" t="str">
        <f t="shared" si="14"/>
        <v>HYDERABAD</v>
      </c>
      <c r="P73" s="3" t="str">
        <f t="shared" si="15"/>
        <v>Hyderabad</v>
      </c>
      <c r="Q73" s="3">
        <f t="shared" si="16"/>
        <v>2.8284271247461903</v>
      </c>
    </row>
    <row r="74" spans="1:17">
      <c r="A74" t="s">
        <v>107</v>
      </c>
      <c r="B74" s="1">
        <v>45524</v>
      </c>
      <c r="C74" t="s">
        <v>22</v>
      </c>
      <c r="D74" t="s">
        <v>37</v>
      </c>
      <c r="E74" t="s">
        <v>30</v>
      </c>
      <c r="F74">
        <v>19</v>
      </c>
      <c r="G74">
        <v>502.83</v>
      </c>
      <c r="H74">
        <v>9553.77</v>
      </c>
      <c r="I74" t="str">
        <f t="shared" si="17"/>
        <v>Bulk Order</v>
      </c>
      <c r="J74" t="str">
        <f t="shared" si="9"/>
        <v>CityStore - Hyderabad</v>
      </c>
      <c r="K74">
        <f t="shared" si="10"/>
        <v>14</v>
      </c>
      <c r="L74" t="str">
        <f t="shared" si="11"/>
        <v>Hom</v>
      </c>
      <c r="M74" s="3" t="str">
        <f t="shared" si="12"/>
        <v>RD107</v>
      </c>
      <c r="N74" s="3" t="str">
        <f t="shared" si="13"/>
        <v>hyderabad</v>
      </c>
      <c r="O74" s="3" t="str">
        <f t="shared" si="14"/>
        <v>HYDERABAD</v>
      </c>
      <c r="P74" s="3" t="str">
        <f t="shared" si="15"/>
        <v>Hyderabad</v>
      </c>
      <c r="Q74" s="3">
        <f t="shared" si="16"/>
        <v>4.358898943540674</v>
      </c>
    </row>
    <row r="75" spans="1:17">
      <c r="A75" t="s">
        <v>108</v>
      </c>
      <c r="B75" s="1">
        <v>45617</v>
      </c>
      <c r="C75" t="s">
        <v>22</v>
      </c>
      <c r="D75" t="s">
        <v>42</v>
      </c>
      <c r="E75" t="s">
        <v>27</v>
      </c>
      <c r="F75">
        <v>14</v>
      </c>
      <c r="G75">
        <v>1490.44</v>
      </c>
      <c r="H75">
        <v>20866.16</v>
      </c>
      <c r="I75" t="str">
        <f t="shared" si="17"/>
        <v>Bulk Order</v>
      </c>
      <c r="J75" t="str">
        <f t="shared" si="9"/>
        <v>CityStore - Pune</v>
      </c>
      <c r="K75">
        <f t="shared" si="10"/>
        <v>5</v>
      </c>
      <c r="L75" t="str">
        <f t="shared" si="11"/>
        <v>Boo</v>
      </c>
      <c r="M75" s="3" t="str">
        <f t="shared" si="12"/>
        <v>RD107</v>
      </c>
      <c r="N75" s="3" t="str">
        <f t="shared" si="13"/>
        <v>pune</v>
      </c>
      <c r="O75" s="3" t="str">
        <f t="shared" si="14"/>
        <v>PUNE</v>
      </c>
      <c r="P75" s="3" t="str">
        <f t="shared" si="15"/>
        <v>Pune</v>
      </c>
      <c r="Q75" s="3">
        <f t="shared" si="16"/>
        <v>3.7416573867739413</v>
      </c>
    </row>
    <row r="76" spans="1:17">
      <c r="A76" t="s">
        <v>109</v>
      </c>
      <c r="B76" s="1">
        <v>45478</v>
      </c>
      <c r="C76" t="s">
        <v>22</v>
      </c>
      <c r="D76" t="s">
        <v>50</v>
      </c>
      <c r="E76" t="s">
        <v>20</v>
      </c>
      <c r="F76">
        <v>6</v>
      </c>
      <c r="G76">
        <v>1708.15</v>
      </c>
      <c r="H76">
        <v>10248.9</v>
      </c>
      <c r="I76" t="str">
        <f t="shared" si="17"/>
        <v>Normal Order</v>
      </c>
      <c r="J76" t="str">
        <f t="shared" si="9"/>
        <v>CityStore - Mumbai</v>
      </c>
      <c r="K76">
        <f t="shared" si="10"/>
        <v>11</v>
      </c>
      <c r="L76" t="str">
        <f t="shared" si="11"/>
        <v>Ele</v>
      </c>
      <c r="M76" s="3" t="str">
        <f t="shared" si="12"/>
        <v>RD107</v>
      </c>
      <c r="N76" s="3" t="str">
        <f t="shared" si="13"/>
        <v>mumbai</v>
      </c>
      <c r="O76" s="3" t="str">
        <f t="shared" si="14"/>
        <v>MUMBAI</v>
      </c>
      <c r="P76" s="3" t="str">
        <f t="shared" si="15"/>
        <v>Mumbai</v>
      </c>
      <c r="Q76" s="3">
        <f t="shared" si="16"/>
        <v>2.4494897427831779</v>
      </c>
    </row>
    <row r="77" spans="1:17">
      <c r="A77" t="s">
        <v>110</v>
      </c>
      <c r="B77" s="1">
        <v>45375</v>
      </c>
      <c r="C77" t="s">
        <v>32</v>
      </c>
      <c r="D77" t="s">
        <v>29</v>
      </c>
      <c r="E77" t="s">
        <v>44</v>
      </c>
      <c r="F77">
        <v>3</v>
      </c>
      <c r="G77">
        <v>122.73</v>
      </c>
      <c r="H77">
        <v>368.19</v>
      </c>
      <c r="I77" t="str">
        <f t="shared" si="17"/>
        <v>Normal Order</v>
      </c>
      <c r="J77" t="str">
        <f t="shared" si="9"/>
        <v>MegaMart - Kolkata</v>
      </c>
      <c r="K77">
        <f t="shared" si="10"/>
        <v>9</v>
      </c>
      <c r="L77" t="str">
        <f t="shared" si="11"/>
        <v>Gro</v>
      </c>
      <c r="M77" s="3" t="str">
        <f t="shared" si="12"/>
        <v>RD107</v>
      </c>
      <c r="N77" s="3" t="str">
        <f t="shared" si="13"/>
        <v>kolkata</v>
      </c>
      <c r="O77" s="3" t="str">
        <f t="shared" si="14"/>
        <v>KOLKATA</v>
      </c>
      <c r="P77" s="3" t="str">
        <f t="shared" si="15"/>
        <v>Kolkata</v>
      </c>
      <c r="Q77" s="3">
        <f t="shared" si="16"/>
        <v>1.7320508075688772</v>
      </c>
    </row>
    <row r="78" spans="1:17">
      <c r="A78" t="s">
        <v>111</v>
      </c>
      <c r="B78" s="1">
        <v>45481</v>
      </c>
      <c r="C78" t="s">
        <v>32</v>
      </c>
      <c r="D78" t="s">
        <v>26</v>
      </c>
      <c r="E78" t="s">
        <v>30</v>
      </c>
      <c r="F78">
        <v>17</v>
      </c>
      <c r="G78">
        <v>1846.87</v>
      </c>
      <c r="H78">
        <v>31396.79</v>
      </c>
      <c r="I78" t="str">
        <f t="shared" si="17"/>
        <v>Bulk Order</v>
      </c>
      <c r="J78" t="str">
        <f t="shared" si="9"/>
        <v>MegaMart - Delhi</v>
      </c>
      <c r="K78">
        <f t="shared" si="10"/>
        <v>14</v>
      </c>
      <c r="L78" t="str">
        <f t="shared" si="11"/>
        <v>Hom</v>
      </c>
      <c r="M78" s="3" t="str">
        <f t="shared" si="12"/>
        <v>RD107</v>
      </c>
      <c r="N78" s="3" t="str">
        <f t="shared" si="13"/>
        <v>delhi</v>
      </c>
      <c r="O78" s="3" t="str">
        <f t="shared" si="14"/>
        <v>DELHI</v>
      </c>
      <c r="P78" s="3" t="str">
        <f t="shared" si="15"/>
        <v>Delhi</v>
      </c>
      <c r="Q78" s="3">
        <f t="shared" si="16"/>
        <v>4.1231056256176606</v>
      </c>
    </row>
    <row r="79" spans="1:17">
      <c r="A79" t="s">
        <v>112</v>
      </c>
      <c r="B79" s="1">
        <v>45473</v>
      </c>
      <c r="C79" t="s">
        <v>22</v>
      </c>
      <c r="D79" t="s">
        <v>19</v>
      </c>
      <c r="E79" t="s">
        <v>44</v>
      </c>
      <c r="F79">
        <v>12</v>
      </c>
      <c r="G79">
        <v>864.88</v>
      </c>
      <c r="H79">
        <v>10378.56</v>
      </c>
      <c r="I79" t="str">
        <f t="shared" si="17"/>
        <v>Bulk Order</v>
      </c>
      <c r="J79" t="str">
        <f t="shared" si="9"/>
        <v>CityStore - Bangalore</v>
      </c>
      <c r="K79">
        <f t="shared" si="10"/>
        <v>9</v>
      </c>
      <c r="L79" t="str">
        <f t="shared" si="11"/>
        <v>Gro</v>
      </c>
      <c r="M79" s="3" t="str">
        <f t="shared" si="12"/>
        <v>RD107</v>
      </c>
      <c r="N79" s="3" t="str">
        <f t="shared" si="13"/>
        <v>bangalore</v>
      </c>
      <c r="O79" s="3" t="str">
        <f t="shared" si="14"/>
        <v>BANGALORE</v>
      </c>
      <c r="P79" s="3" t="str">
        <f t="shared" si="15"/>
        <v>Bangalore</v>
      </c>
      <c r="Q79" s="3">
        <f t="shared" si="16"/>
        <v>3.4641016151377544</v>
      </c>
    </row>
    <row r="80" spans="1:17">
      <c r="A80" t="s">
        <v>113</v>
      </c>
      <c r="B80" s="1">
        <v>45399</v>
      </c>
      <c r="C80" t="s">
        <v>39</v>
      </c>
      <c r="D80" t="s">
        <v>29</v>
      </c>
      <c r="E80" t="s">
        <v>27</v>
      </c>
      <c r="F80">
        <v>3</v>
      </c>
      <c r="G80">
        <v>1683.33</v>
      </c>
      <c r="H80">
        <v>5049.99</v>
      </c>
      <c r="I80" t="str">
        <f t="shared" si="17"/>
        <v>Normal Order</v>
      </c>
      <c r="J80" t="str">
        <f t="shared" si="9"/>
        <v>Trendz - Kolkata</v>
      </c>
      <c r="K80">
        <f t="shared" si="10"/>
        <v>5</v>
      </c>
      <c r="L80" t="str">
        <f t="shared" si="11"/>
        <v>Boo</v>
      </c>
      <c r="M80" s="3" t="str">
        <f t="shared" si="12"/>
        <v>RD107</v>
      </c>
      <c r="N80" s="3" t="str">
        <f t="shared" si="13"/>
        <v>kolkata</v>
      </c>
      <c r="O80" s="3" t="str">
        <f t="shared" si="14"/>
        <v>KOLKATA</v>
      </c>
      <c r="P80" s="3" t="str">
        <f t="shared" si="15"/>
        <v>Kolkata</v>
      </c>
      <c r="Q80" s="3">
        <f t="shared" si="16"/>
        <v>1.7320508075688772</v>
      </c>
    </row>
    <row r="81" spans="1:17">
      <c r="A81" t="s">
        <v>114</v>
      </c>
      <c r="B81" s="1">
        <v>45635</v>
      </c>
      <c r="C81" t="s">
        <v>25</v>
      </c>
      <c r="D81" t="s">
        <v>29</v>
      </c>
      <c r="E81" t="s">
        <v>44</v>
      </c>
      <c r="F81">
        <v>17</v>
      </c>
      <c r="G81">
        <v>1871.15</v>
      </c>
      <c r="H81">
        <v>31809.55</v>
      </c>
      <c r="I81" t="str">
        <f t="shared" si="17"/>
        <v>Bulk Order</v>
      </c>
      <c r="J81" t="str">
        <f t="shared" si="9"/>
        <v>QuickBuy - Kolkata</v>
      </c>
      <c r="K81">
        <f t="shared" si="10"/>
        <v>9</v>
      </c>
      <c r="L81" t="str">
        <f t="shared" si="11"/>
        <v>Gro</v>
      </c>
      <c r="M81" s="3" t="str">
        <f t="shared" si="12"/>
        <v>RD107</v>
      </c>
      <c r="N81" s="3" t="str">
        <f t="shared" si="13"/>
        <v>kolkata</v>
      </c>
      <c r="O81" s="3" t="str">
        <f t="shared" si="14"/>
        <v>KOLKATA</v>
      </c>
      <c r="P81" s="3" t="str">
        <f t="shared" si="15"/>
        <v>Kolkata</v>
      </c>
      <c r="Q81" s="3">
        <f t="shared" si="16"/>
        <v>4.1231056256176606</v>
      </c>
    </row>
    <row r="82" spans="1:17">
      <c r="A82" t="s">
        <v>115</v>
      </c>
      <c r="B82" s="1">
        <v>45428</v>
      </c>
      <c r="C82" t="s">
        <v>32</v>
      </c>
      <c r="D82" t="s">
        <v>29</v>
      </c>
      <c r="E82" t="s">
        <v>44</v>
      </c>
      <c r="F82">
        <v>18</v>
      </c>
      <c r="G82">
        <v>120.86</v>
      </c>
      <c r="H82">
        <v>2175.48</v>
      </c>
      <c r="I82" t="str">
        <f t="shared" si="17"/>
        <v>Bulk Order</v>
      </c>
      <c r="J82" t="str">
        <f t="shared" si="9"/>
        <v>MegaMart - Kolkata</v>
      </c>
      <c r="K82">
        <f t="shared" si="10"/>
        <v>9</v>
      </c>
      <c r="L82" t="str">
        <f t="shared" si="11"/>
        <v>Gro</v>
      </c>
      <c r="M82" s="3" t="str">
        <f t="shared" si="12"/>
        <v>RD108</v>
      </c>
      <c r="N82" s="3" t="str">
        <f t="shared" si="13"/>
        <v>kolkata</v>
      </c>
      <c r="O82" s="3" t="str">
        <f t="shared" si="14"/>
        <v>KOLKATA</v>
      </c>
      <c r="P82" s="3" t="str">
        <f t="shared" si="15"/>
        <v>Kolkata</v>
      </c>
      <c r="Q82" s="3">
        <f t="shared" si="16"/>
        <v>4.2426406871192848</v>
      </c>
    </row>
    <row r="83" spans="1:17">
      <c r="A83" t="s">
        <v>116</v>
      </c>
      <c r="B83" s="1">
        <v>45651</v>
      </c>
      <c r="C83" t="s">
        <v>39</v>
      </c>
      <c r="D83" t="s">
        <v>33</v>
      </c>
      <c r="E83" t="s">
        <v>23</v>
      </c>
      <c r="F83">
        <v>17</v>
      </c>
      <c r="G83">
        <v>1680.6</v>
      </c>
      <c r="H83">
        <v>28570.2</v>
      </c>
      <c r="I83" t="str">
        <f t="shared" si="17"/>
        <v>Bulk Order</v>
      </c>
      <c r="J83" t="str">
        <f t="shared" si="9"/>
        <v>Trendz - Chennai</v>
      </c>
      <c r="K83">
        <f t="shared" si="10"/>
        <v>8</v>
      </c>
      <c r="L83" t="str">
        <f t="shared" si="11"/>
        <v>Clo</v>
      </c>
      <c r="M83" s="3" t="str">
        <f t="shared" si="12"/>
        <v>RD108</v>
      </c>
      <c r="N83" s="3" t="str">
        <f t="shared" si="13"/>
        <v>chennai</v>
      </c>
      <c r="O83" s="3" t="str">
        <f t="shared" si="14"/>
        <v>CHENNAI</v>
      </c>
      <c r="P83" s="3" t="str">
        <f t="shared" si="15"/>
        <v>Chennai</v>
      </c>
      <c r="Q83" s="3">
        <f t="shared" si="16"/>
        <v>4.1231056256176606</v>
      </c>
    </row>
    <row r="84" spans="1:17">
      <c r="A84" t="s">
        <v>117</v>
      </c>
      <c r="B84" s="1">
        <v>45641</v>
      </c>
      <c r="C84" t="s">
        <v>39</v>
      </c>
      <c r="D84" t="s">
        <v>19</v>
      </c>
      <c r="E84" t="s">
        <v>27</v>
      </c>
      <c r="F84">
        <v>17</v>
      </c>
      <c r="G84">
        <v>1586.52</v>
      </c>
      <c r="H84">
        <v>26970.84</v>
      </c>
      <c r="I84" t="str">
        <f t="shared" si="17"/>
        <v>Bulk Order</v>
      </c>
      <c r="J84" t="str">
        <f t="shared" si="9"/>
        <v>Trendz - Bangalore</v>
      </c>
      <c r="K84">
        <f t="shared" si="10"/>
        <v>5</v>
      </c>
      <c r="L84" t="str">
        <f t="shared" si="11"/>
        <v>Boo</v>
      </c>
      <c r="M84" s="3" t="str">
        <f t="shared" si="12"/>
        <v>RD108</v>
      </c>
      <c r="N84" s="3" t="str">
        <f t="shared" si="13"/>
        <v>bangalore</v>
      </c>
      <c r="O84" s="3" t="str">
        <f t="shared" si="14"/>
        <v>BANGALORE</v>
      </c>
      <c r="P84" s="3" t="str">
        <f t="shared" si="15"/>
        <v>Bangalore</v>
      </c>
      <c r="Q84" s="3">
        <f t="shared" si="16"/>
        <v>4.1231056256176606</v>
      </c>
    </row>
    <row r="85" spans="1:17">
      <c r="A85" t="s">
        <v>118</v>
      </c>
      <c r="B85" s="1">
        <v>45623</v>
      </c>
      <c r="C85" t="s">
        <v>25</v>
      </c>
      <c r="D85" t="s">
        <v>29</v>
      </c>
      <c r="E85" t="s">
        <v>30</v>
      </c>
      <c r="F85">
        <v>18</v>
      </c>
      <c r="G85">
        <v>413.31</v>
      </c>
      <c r="H85">
        <v>7439.58</v>
      </c>
      <c r="I85" t="str">
        <f t="shared" si="17"/>
        <v>Bulk Order</v>
      </c>
      <c r="J85" t="str">
        <f t="shared" si="9"/>
        <v>QuickBuy - Kolkata</v>
      </c>
      <c r="K85">
        <f t="shared" si="10"/>
        <v>14</v>
      </c>
      <c r="L85" t="str">
        <f t="shared" si="11"/>
        <v>Hom</v>
      </c>
      <c r="M85" s="3" t="str">
        <f t="shared" si="12"/>
        <v>RD108</v>
      </c>
      <c r="N85" s="3" t="str">
        <f t="shared" si="13"/>
        <v>kolkata</v>
      </c>
      <c r="O85" s="3" t="str">
        <f t="shared" si="14"/>
        <v>KOLKATA</v>
      </c>
      <c r="P85" s="3" t="str">
        <f t="shared" si="15"/>
        <v>Kolkata</v>
      </c>
      <c r="Q85" s="3">
        <f t="shared" si="16"/>
        <v>4.2426406871192848</v>
      </c>
    </row>
    <row r="86" spans="1:17">
      <c r="A86" t="s">
        <v>119</v>
      </c>
      <c r="B86" s="1">
        <v>45328</v>
      </c>
      <c r="C86" t="s">
        <v>22</v>
      </c>
      <c r="D86" t="s">
        <v>37</v>
      </c>
      <c r="E86" t="s">
        <v>20</v>
      </c>
      <c r="F86">
        <v>1</v>
      </c>
      <c r="G86">
        <v>1510.56</v>
      </c>
      <c r="H86">
        <v>1510.56</v>
      </c>
      <c r="I86" t="str">
        <f t="shared" si="17"/>
        <v>Normal Order</v>
      </c>
      <c r="J86" t="str">
        <f t="shared" si="9"/>
        <v>CityStore - Hyderabad</v>
      </c>
      <c r="K86">
        <f t="shared" si="10"/>
        <v>11</v>
      </c>
      <c r="L86" t="str">
        <f t="shared" si="11"/>
        <v>Ele</v>
      </c>
      <c r="M86" s="3" t="str">
        <f t="shared" si="12"/>
        <v>RD108</v>
      </c>
      <c r="N86" s="3" t="str">
        <f t="shared" si="13"/>
        <v>hyderabad</v>
      </c>
      <c r="O86" s="3" t="str">
        <f t="shared" si="14"/>
        <v>HYDERABAD</v>
      </c>
      <c r="P86" s="3" t="str">
        <f t="shared" si="15"/>
        <v>Hyderabad</v>
      </c>
      <c r="Q86" s="3">
        <f t="shared" si="16"/>
        <v>1</v>
      </c>
    </row>
    <row r="87" spans="1:17">
      <c r="A87" t="s">
        <v>120</v>
      </c>
      <c r="B87" s="1">
        <v>45603</v>
      </c>
      <c r="C87" t="s">
        <v>39</v>
      </c>
      <c r="D87" t="s">
        <v>19</v>
      </c>
      <c r="E87" t="s">
        <v>20</v>
      </c>
      <c r="F87">
        <v>13</v>
      </c>
      <c r="G87">
        <v>1750.97</v>
      </c>
      <c r="H87">
        <v>22762.61</v>
      </c>
      <c r="I87" t="str">
        <f t="shared" si="17"/>
        <v>Bulk Order</v>
      </c>
      <c r="J87" t="str">
        <f t="shared" si="9"/>
        <v>Trendz - Bangalore</v>
      </c>
      <c r="K87">
        <f t="shared" si="10"/>
        <v>11</v>
      </c>
      <c r="L87" t="str">
        <f t="shared" si="11"/>
        <v>Ele</v>
      </c>
      <c r="M87" s="3" t="str">
        <f t="shared" si="12"/>
        <v>RD108</v>
      </c>
      <c r="N87" s="3" t="str">
        <f t="shared" si="13"/>
        <v>bangalore</v>
      </c>
      <c r="O87" s="3" t="str">
        <f t="shared" si="14"/>
        <v>BANGALORE</v>
      </c>
      <c r="P87" s="3" t="str">
        <f t="shared" si="15"/>
        <v>Bangalore</v>
      </c>
      <c r="Q87" s="3">
        <f t="shared" si="16"/>
        <v>3.6055512754639891</v>
      </c>
    </row>
    <row r="88" spans="1:17">
      <c r="A88" t="s">
        <v>121</v>
      </c>
      <c r="B88" s="1">
        <v>45617</v>
      </c>
      <c r="C88" t="s">
        <v>39</v>
      </c>
      <c r="D88" t="s">
        <v>29</v>
      </c>
      <c r="E88" t="s">
        <v>20</v>
      </c>
      <c r="F88">
        <v>16</v>
      </c>
      <c r="G88">
        <v>614.46</v>
      </c>
      <c r="H88">
        <v>9831.36</v>
      </c>
      <c r="I88" t="str">
        <f t="shared" si="17"/>
        <v>Bulk Order</v>
      </c>
      <c r="J88" t="str">
        <f t="shared" si="9"/>
        <v>Trendz - Kolkata</v>
      </c>
      <c r="K88">
        <f t="shared" si="10"/>
        <v>11</v>
      </c>
      <c r="L88" t="str">
        <f t="shared" si="11"/>
        <v>Ele</v>
      </c>
      <c r="M88" s="3" t="str">
        <f t="shared" si="12"/>
        <v>RD108</v>
      </c>
      <c r="N88" s="3" t="str">
        <f t="shared" si="13"/>
        <v>kolkata</v>
      </c>
      <c r="O88" s="3" t="str">
        <f t="shared" si="14"/>
        <v>KOLKATA</v>
      </c>
      <c r="P88" s="3" t="str">
        <f t="shared" si="15"/>
        <v>Kolkata</v>
      </c>
      <c r="Q88" s="3">
        <f t="shared" si="16"/>
        <v>4</v>
      </c>
    </row>
    <row r="89" spans="1:17">
      <c r="A89" t="s">
        <v>122</v>
      </c>
      <c r="B89" s="1">
        <v>45379</v>
      </c>
      <c r="C89" t="s">
        <v>39</v>
      </c>
      <c r="D89" t="s">
        <v>26</v>
      </c>
      <c r="E89" t="s">
        <v>20</v>
      </c>
      <c r="F89">
        <v>2</v>
      </c>
      <c r="G89">
        <v>123.06</v>
      </c>
      <c r="H89">
        <v>246.12</v>
      </c>
      <c r="I89" t="str">
        <f t="shared" si="17"/>
        <v>Normal Order</v>
      </c>
      <c r="J89" t="str">
        <f t="shared" si="9"/>
        <v>Trendz - Delhi</v>
      </c>
      <c r="K89">
        <f t="shared" si="10"/>
        <v>11</v>
      </c>
      <c r="L89" t="str">
        <f t="shared" si="11"/>
        <v>Ele</v>
      </c>
      <c r="M89" s="3" t="str">
        <f t="shared" si="12"/>
        <v>RD108</v>
      </c>
      <c r="N89" s="3" t="str">
        <f t="shared" si="13"/>
        <v>delhi</v>
      </c>
      <c r="O89" s="3" t="str">
        <f t="shared" si="14"/>
        <v>DELHI</v>
      </c>
      <c r="P89" s="3" t="str">
        <f t="shared" si="15"/>
        <v>Delhi</v>
      </c>
      <c r="Q89" s="3">
        <f t="shared" si="16"/>
        <v>1.4142135623730951</v>
      </c>
    </row>
    <row r="90" spans="1:17">
      <c r="A90" t="s">
        <v>123</v>
      </c>
      <c r="B90" s="1">
        <v>45565</v>
      </c>
      <c r="C90" t="s">
        <v>22</v>
      </c>
      <c r="D90" t="s">
        <v>19</v>
      </c>
      <c r="E90" t="s">
        <v>30</v>
      </c>
      <c r="F90">
        <v>13</v>
      </c>
      <c r="G90">
        <v>631.86</v>
      </c>
      <c r="H90">
        <v>8214.18</v>
      </c>
      <c r="I90" t="str">
        <f t="shared" si="17"/>
        <v>Bulk Order</v>
      </c>
      <c r="J90" t="str">
        <f t="shared" si="9"/>
        <v>CityStore - Bangalore</v>
      </c>
      <c r="K90">
        <f t="shared" si="10"/>
        <v>14</v>
      </c>
      <c r="L90" t="str">
        <f t="shared" si="11"/>
        <v>Hom</v>
      </c>
      <c r="M90" s="3" t="str">
        <f t="shared" si="12"/>
        <v>RD108</v>
      </c>
      <c r="N90" s="3" t="str">
        <f t="shared" si="13"/>
        <v>bangalore</v>
      </c>
      <c r="O90" s="3" t="str">
        <f t="shared" si="14"/>
        <v>BANGALORE</v>
      </c>
      <c r="P90" s="3" t="str">
        <f t="shared" si="15"/>
        <v>Bangalore</v>
      </c>
      <c r="Q90" s="3">
        <f t="shared" si="16"/>
        <v>3.6055512754639891</v>
      </c>
    </row>
    <row r="91" spans="1:17">
      <c r="A91" t="s">
        <v>124</v>
      </c>
      <c r="B91" s="1">
        <v>45417</v>
      </c>
      <c r="C91" t="s">
        <v>22</v>
      </c>
      <c r="D91" t="s">
        <v>42</v>
      </c>
      <c r="E91" t="s">
        <v>20</v>
      </c>
      <c r="F91">
        <v>12</v>
      </c>
      <c r="G91">
        <v>1225.43</v>
      </c>
      <c r="H91">
        <v>14705.16</v>
      </c>
      <c r="I91" t="str">
        <f t="shared" si="17"/>
        <v>Bulk Order</v>
      </c>
      <c r="J91" t="str">
        <f t="shared" si="9"/>
        <v>CityStore - Pune</v>
      </c>
      <c r="K91">
        <f t="shared" si="10"/>
        <v>11</v>
      </c>
      <c r="L91" t="str">
        <f t="shared" si="11"/>
        <v>Ele</v>
      </c>
      <c r="M91" s="3" t="str">
        <f t="shared" si="12"/>
        <v>RD108</v>
      </c>
      <c r="N91" s="3" t="str">
        <f t="shared" si="13"/>
        <v>pune</v>
      </c>
      <c r="O91" s="3" t="str">
        <f t="shared" si="14"/>
        <v>PUNE</v>
      </c>
      <c r="P91" s="3" t="str">
        <f t="shared" si="15"/>
        <v>Pune</v>
      </c>
      <c r="Q91" s="3">
        <f t="shared" si="16"/>
        <v>3.4641016151377544</v>
      </c>
    </row>
    <row r="92" spans="1:17">
      <c r="A92" t="s">
        <v>125</v>
      </c>
      <c r="B92" s="1">
        <v>45375</v>
      </c>
      <c r="C92" t="s">
        <v>32</v>
      </c>
      <c r="D92" t="s">
        <v>19</v>
      </c>
      <c r="E92" t="s">
        <v>27</v>
      </c>
      <c r="F92">
        <v>9</v>
      </c>
      <c r="G92">
        <v>1860.49</v>
      </c>
      <c r="H92">
        <v>16744.41</v>
      </c>
      <c r="I92" t="str">
        <f t="shared" si="17"/>
        <v>Normal Order</v>
      </c>
      <c r="J92" t="str">
        <f t="shared" si="9"/>
        <v>MegaMart - Bangalore</v>
      </c>
      <c r="K92">
        <f t="shared" si="10"/>
        <v>5</v>
      </c>
      <c r="L92" t="str">
        <f t="shared" si="11"/>
        <v>Boo</v>
      </c>
      <c r="M92" s="3" t="str">
        <f t="shared" si="12"/>
        <v>RD109</v>
      </c>
      <c r="N92" s="3" t="str">
        <f t="shared" si="13"/>
        <v>bangalore</v>
      </c>
      <c r="O92" s="3" t="str">
        <f t="shared" si="14"/>
        <v>BANGALORE</v>
      </c>
      <c r="P92" s="3" t="str">
        <f t="shared" si="15"/>
        <v>Bangalore</v>
      </c>
      <c r="Q92" s="3">
        <f t="shared" si="16"/>
        <v>3</v>
      </c>
    </row>
    <row r="93" spans="1:17">
      <c r="A93" t="s">
        <v>126</v>
      </c>
      <c r="B93" s="1">
        <v>45528</v>
      </c>
      <c r="C93" t="s">
        <v>32</v>
      </c>
      <c r="D93" t="s">
        <v>29</v>
      </c>
      <c r="E93" t="s">
        <v>27</v>
      </c>
      <c r="F93">
        <v>1</v>
      </c>
      <c r="G93">
        <v>703.33</v>
      </c>
      <c r="H93">
        <v>703.33</v>
      </c>
      <c r="I93" t="str">
        <f t="shared" si="17"/>
        <v>Normal Order</v>
      </c>
      <c r="J93" t="str">
        <f t="shared" si="9"/>
        <v>MegaMart - Kolkata</v>
      </c>
      <c r="K93">
        <f t="shared" si="10"/>
        <v>5</v>
      </c>
      <c r="L93" t="str">
        <f t="shared" si="11"/>
        <v>Boo</v>
      </c>
      <c r="M93" s="3" t="str">
        <f t="shared" si="12"/>
        <v>RD109</v>
      </c>
      <c r="N93" s="3" t="str">
        <f t="shared" si="13"/>
        <v>kolkata</v>
      </c>
      <c r="O93" s="3" t="str">
        <f t="shared" si="14"/>
        <v>KOLKATA</v>
      </c>
      <c r="P93" s="3" t="str">
        <f t="shared" si="15"/>
        <v>Kolkata</v>
      </c>
      <c r="Q93" s="3">
        <f t="shared" si="16"/>
        <v>1</v>
      </c>
    </row>
    <row r="94" spans="1:17">
      <c r="A94" t="s">
        <v>127</v>
      </c>
      <c r="B94" s="1">
        <v>45486</v>
      </c>
      <c r="C94" t="s">
        <v>39</v>
      </c>
      <c r="D94" t="s">
        <v>37</v>
      </c>
      <c r="E94" t="s">
        <v>44</v>
      </c>
      <c r="F94">
        <v>12</v>
      </c>
      <c r="G94">
        <v>935.98</v>
      </c>
      <c r="H94">
        <v>11231.76</v>
      </c>
      <c r="I94" t="str">
        <f t="shared" si="17"/>
        <v>Bulk Order</v>
      </c>
      <c r="J94" t="str">
        <f t="shared" si="9"/>
        <v>Trendz - Hyderabad</v>
      </c>
      <c r="K94">
        <f t="shared" si="10"/>
        <v>9</v>
      </c>
      <c r="L94" t="str">
        <f t="shared" si="11"/>
        <v>Gro</v>
      </c>
      <c r="M94" s="3" t="str">
        <f t="shared" si="12"/>
        <v>RD109</v>
      </c>
      <c r="N94" s="3" t="str">
        <f t="shared" si="13"/>
        <v>hyderabad</v>
      </c>
      <c r="O94" s="3" t="str">
        <f t="shared" si="14"/>
        <v>HYDERABAD</v>
      </c>
      <c r="P94" s="3" t="str">
        <f t="shared" si="15"/>
        <v>Hyderabad</v>
      </c>
      <c r="Q94" s="3">
        <f t="shared" si="16"/>
        <v>3.4641016151377544</v>
      </c>
    </row>
    <row r="95" spans="1:17">
      <c r="A95" t="s">
        <v>128</v>
      </c>
      <c r="B95" s="1">
        <v>45430</v>
      </c>
      <c r="C95" t="s">
        <v>22</v>
      </c>
      <c r="D95" t="s">
        <v>37</v>
      </c>
      <c r="E95" t="s">
        <v>23</v>
      </c>
      <c r="F95">
        <v>3</v>
      </c>
      <c r="G95">
        <v>1300.56</v>
      </c>
      <c r="H95">
        <v>3901.68</v>
      </c>
      <c r="I95" t="str">
        <f t="shared" si="17"/>
        <v>Normal Order</v>
      </c>
      <c r="J95" t="str">
        <f t="shared" si="9"/>
        <v>CityStore - Hyderabad</v>
      </c>
      <c r="K95">
        <f t="shared" si="10"/>
        <v>8</v>
      </c>
      <c r="L95" t="str">
        <f t="shared" si="11"/>
        <v>Clo</v>
      </c>
      <c r="M95" s="3" t="str">
        <f t="shared" si="12"/>
        <v>RD109</v>
      </c>
      <c r="N95" s="3" t="str">
        <f t="shared" si="13"/>
        <v>hyderabad</v>
      </c>
      <c r="O95" s="3" t="str">
        <f t="shared" si="14"/>
        <v>HYDERABAD</v>
      </c>
      <c r="P95" s="3" t="str">
        <f t="shared" si="15"/>
        <v>Hyderabad</v>
      </c>
      <c r="Q95" s="3">
        <f t="shared" si="16"/>
        <v>1.7320508075688772</v>
      </c>
    </row>
    <row r="96" spans="1:17">
      <c r="A96" t="s">
        <v>129</v>
      </c>
      <c r="B96" s="1">
        <v>45619</v>
      </c>
      <c r="C96" t="s">
        <v>22</v>
      </c>
      <c r="D96" t="s">
        <v>42</v>
      </c>
      <c r="E96" t="s">
        <v>34</v>
      </c>
      <c r="F96">
        <v>12</v>
      </c>
      <c r="G96">
        <v>1072.42</v>
      </c>
      <c r="H96">
        <v>12869.04</v>
      </c>
      <c r="I96" t="str">
        <f t="shared" si="17"/>
        <v>Bulk Order</v>
      </c>
      <c r="J96" t="str">
        <f t="shared" si="9"/>
        <v>CityStore - Pune</v>
      </c>
      <c r="K96">
        <f t="shared" si="10"/>
        <v>4</v>
      </c>
      <c r="L96" t="str">
        <f t="shared" si="11"/>
        <v>Toy</v>
      </c>
      <c r="M96" s="3" t="str">
        <f t="shared" si="12"/>
        <v>RD109</v>
      </c>
      <c r="N96" s="3" t="str">
        <f t="shared" si="13"/>
        <v>pune</v>
      </c>
      <c r="O96" s="3" t="str">
        <f t="shared" si="14"/>
        <v>PUNE</v>
      </c>
      <c r="P96" s="3" t="str">
        <f t="shared" si="15"/>
        <v>Pune</v>
      </c>
      <c r="Q96" s="3">
        <f t="shared" si="16"/>
        <v>3.4641016151377544</v>
      </c>
    </row>
    <row r="97" spans="1:17">
      <c r="A97" t="s">
        <v>130</v>
      </c>
      <c r="B97" s="1">
        <v>45644</v>
      </c>
      <c r="C97" t="s">
        <v>25</v>
      </c>
      <c r="D97" t="s">
        <v>33</v>
      </c>
      <c r="E97" t="s">
        <v>20</v>
      </c>
      <c r="F97">
        <v>8</v>
      </c>
      <c r="G97">
        <v>1784.06</v>
      </c>
      <c r="H97">
        <v>14272.48</v>
      </c>
      <c r="I97" t="str">
        <f t="shared" si="17"/>
        <v>Normal Order</v>
      </c>
      <c r="J97" t="str">
        <f t="shared" si="9"/>
        <v>QuickBuy - Chennai</v>
      </c>
      <c r="K97">
        <f t="shared" si="10"/>
        <v>11</v>
      </c>
      <c r="L97" t="str">
        <f t="shared" si="11"/>
        <v>Ele</v>
      </c>
      <c r="M97" s="3" t="str">
        <f t="shared" si="12"/>
        <v>RD109</v>
      </c>
      <c r="N97" s="3" t="str">
        <f t="shared" si="13"/>
        <v>chennai</v>
      </c>
      <c r="O97" s="3" t="str">
        <f t="shared" si="14"/>
        <v>CHENNAI</v>
      </c>
      <c r="P97" s="3" t="str">
        <f t="shared" si="15"/>
        <v>Chennai</v>
      </c>
      <c r="Q97" s="3">
        <f t="shared" si="16"/>
        <v>2.8284271247461903</v>
      </c>
    </row>
    <row r="98" spans="1:17">
      <c r="A98" t="s">
        <v>131</v>
      </c>
      <c r="B98" s="1">
        <v>45577</v>
      </c>
      <c r="C98" t="s">
        <v>39</v>
      </c>
      <c r="D98" t="s">
        <v>29</v>
      </c>
      <c r="E98" t="s">
        <v>34</v>
      </c>
      <c r="F98">
        <v>4</v>
      </c>
      <c r="G98">
        <v>311.69</v>
      </c>
      <c r="H98">
        <v>1246.76</v>
      </c>
      <c r="I98" t="str">
        <f t="shared" si="17"/>
        <v>Normal Order</v>
      </c>
      <c r="J98" t="str">
        <f t="shared" si="9"/>
        <v>Trendz - Kolkata</v>
      </c>
      <c r="K98">
        <f t="shared" si="10"/>
        <v>4</v>
      </c>
      <c r="L98" t="str">
        <f t="shared" si="11"/>
        <v>Toy</v>
      </c>
      <c r="M98" s="3" t="str">
        <f t="shared" si="12"/>
        <v>RD109</v>
      </c>
      <c r="N98" s="3" t="str">
        <f t="shared" si="13"/>
        <v>kolkata</v>
      </c>
      <c r="O98" s="3" t="str">
        <f t="shared" si="14"/>
        <v>KOLKATA</v>
      </c>
      <c r="P98" s="3" t="str">
        <f t="shared" si="15"/>
        <v>Kolkata</v>
      </c>
      <c r="Q98" s="3">
        <f t="shared" si="16"/>
        <v>2</v>
      </c>
    </row>
    <row r="99" spans="1:17">
      <c r="A99" t="s">
        <v>132</v>
      </c>
      <c r="B99" s="1">
        <v>45404</v>
      </c>
      <c r="C99" t="s">
        <v>32</v>
      </c>
      <c r="D99" t="s">
        <v>50</v>
      </c>
      <c r="E99" t="s">
        <v>34</v>
      </c>
      <c r="F99">
        <v>19</v>
      </c>
      <c r="G99">
        <v>1033.21</v>
      </c>
      <c r="H99">
        <v>19630.990000000002</v>
      </c>
      <c r="I99" t="str">
        <f t="shared" si="17"/>
        <v>Bulk Order</v>
      </c>
      <c r="J99" t="str">
        <f t="shared" si="9"/>
        <v>MegaMart - Mumbai</v>
      </c>
      <c r="K99">
        <f t="shared" si="10"/>
        <v>4</v>
      </c>
      <c r="L99" t="str">
        <f t="shared" si="11"/>
        <v>Toy</v>
      </c>
      <c r="M99" s="3" t="str">
        <f t="shared" si="12"/>
        <v>RD109</v>
      </c>
      <c r="N99" s="3" t="str">
        <f t="shared" si="13"/>
        <v>mumbai</v>
      </c>
      <c r="O99" s="3" t="str">
        <f t="shared" si="14"/>
        <v>MUMBAI</v>
      </c>
      <c r="P99" s="3" t="str">
        <f t="shared" si="15"/>
        <v>Mumbai</v>
      </c>
      <c r="Q99" s="3">
        <f t="shared" si="16"/>
        <v>4.358898943540674</v>
      </c>
    </row>
    <row r="100" spans="1:17">
      <c r="A100" t="s">
        <v>133</v>
      </c>
      <c r="B100" s="1">
        <v>45642</v>
      </c>
      <c r="C100" t="s">
        <v>25</v>
      </c>
      <c r="D100" t="s">
        <v>33</v>
      </c>
      <c r="E100" t="s">
        <v>34</v>
      </c>
      <c r="F100">
        <v>11</v>
      </c>
      <c r="G100">
        <v>582.03</v>
      </c>
      <c r="H100">
        <v>6402.33</v>
      </c>
      <c r="I100" t="str">
        <f t="shared" si="17"/>
        <v>Bulk Order</v>
      </c>
      <c r="J100" t="str">
        <f t="shared" si="9"/>
        <v>QuickBuy - Chennai</v>
      </c>
      <c r="K100">
        <f t="shared" si="10"/>
        <v>4</v>
      </c>
      <c r="L100" t="str">
        <f t="shared" si="11"/>
        <v>Toy</v>
      </c>
      <c r="M100" s="3" t="str">
        <f t="shared" si="12"/>
        <v>RD109</v>
      </c>
      <c r="N100" s="3" t="str">
        <f t="shared" si="13"/>
        <v>chennai</v>
      </c>
      <c r="O100" s="3" t="str">
        <f t="shared" si="14"/>
        <v>CHENNAI</v>
      </c>
      <c r="P100" s="3" t="str">
        <f t="shared" si="15"/>
        <v>Chennai</v>
      </c>
      <c r="Q100" s="3">
        <f t="shared" si="16"/>
        <v>3.3166247903553998</v>
      </c>
    </row>
    <row r="101" spans="1:17">
      <c r="A101" t="s">
        <v>134</v>
      </c>
      <c r="B101" s="1">
        <v>45458</v>
      </c>
      <c r="C101" t="s">
        <v>22</v>
      </c>
      <c r="D101" t="s">
        <v>37</v>
      </c>
      <c r="E101" t="s">
        <v>44</v>
      </c>
      <c r="F101">
        <v>5</v>
      </c>
      <c r="G101">
        <v>1627.19</v>
      </c>
      <c r="H101">
        <v>8135.9500000000007</v>
      </c>
      <c r="I101" t="str">
        <f t="shared" si="17"/>
        <v>Normal Order</v>
      </c>
      <c r="J101" t="str">
        <f t="shared" si="9"/>
        <v>CityStore - Hyderabad</v>
      </c>
      <c r="K101">
        <f t="shared" si="10"/>
        <v>9</v>
      </c>
      <c r="L101" t="str">
        <f t="shared" si="11"/>
        <v>Gro</v>
      </c>
      <c r="M101" s="3" t="str">
        <f t="shared" si="12"/>
        <v>RD109</v>
      </c>
      <c r="N101" s="3" t="str">
        <f t="shared" si="13"/>
        <v>hyderabad</v>
      </c>
      <c r="O101" s="3" t="str">
        <f t="shared" si="14"/>
        <v>HYDERABAD</v>
      </c>
      <c r="P101" s="3" t="str">
        <f t="shared" si="15"/>
        <v>Hyderabad</v>
      </c>
      <c r="Q101" s="3">
        <f t="shared" si="16"/>
        <v>2.2360679774997898</v>
      </c>
    </row>
    <row r="102" spans="1:17">
      <c r="A102" t="s">
        <v>135</v>
      </c>
      <c r="B102" s="1">
        <v>45320</v>
      </c>
      <c r="C102" t="s">
        <v>32</v>
      </c>
      <c r="D102" t="s">
        <v>33</v>
      </c>
      <c r="E102" t="s">
        <v>27</v>
      </c>
      <c r="F102">
        <v>2</v>
      </c>
      <c r="G102">
        <v>694.83</v>
      </c>
      <c r="H102">
        <v>1389.66</v>
      </c>
      <c r="I102" t="str">
        <f t="shared" si="17"/>
        <v>Normal Order</v>
      </c>
      <c r="J102" t="str">
        <f t="shared" si="9"/>
        <v>MegaMart - Chennai</v>
      </c>
      <c r="K102">
        <f t="shared" si="10"/>
        <v>5</v>
      </c>
      <c r="L102" t="str">
        <f t="shared" si="11"/>
        <v>Boo</v>
      </c>
      <c r="M102" s="3" t="str">
        <f t="shared" si="12"/>
        <v>RD110</v>
      </c>
      <c r="N102" s="3" t="str">
        <f t="shared" si="13"/>
        <v>chennai</v>
      </c>
      <c r="O102" s="3" t="str">
        <f t="shared" si="14"/>
        <v>CHENNAI</v>
      </c>
      <c r="P102" s="3" t="str">
        <f t="shared" si="15"/>
        <v>Chennai</v>
      </c>
      <c r="Q102" s="3">
        <f t="shared" si="16"/>
        <v>1.4142135623730951</v>
      </c>
    </row>
    <row r="103" spans="1:17">
      <c r="A103" t="s">
        <v>136</v>
      </c>
      <c r="B103" s="1">
        <v>45409</v>
      </c>
      <c r="C103" t="s">
        <v>39</v>
      </c>
      <c r="D103" t="s">
        <v>19</v>
      </c>
      <c r="E103" t="s">
        <v>20</v>
      </c>
      <c r="F103">
        <v>12</v>
      </c>
      <c r="G103">
        <v>1475.68</v>
      </c>
      <c r="H103">
        <v>17708.16</v>
      </c>
      <c r="I103" t="str">
        <f t="shared" si="17"/>
        <v>Bulk Order</v>
      </c>
      <c r="J103" t="str">
        <f t="shared" si="9"/>
        <v>Trendz - Bangalore</v>
      </c>
      <c r="K103">
        <f t="shared" si="10"/>
        <v>11</v>
      </c>
      <c r="L103" t="str">
        <f t="shared" si="11"/>
        <v>Ele</v>
      </c>
      <c r="M103" s="3" t="str">
        <f t="shared" si="12"/>
        <v>RD110</v>
      </c>
      <c r="N103" s="3" t="str">
        <f t="shared" si="13"/>
        <v>bangalore</v>
      </c>
      <c r="O103" s="3" t="str">
        <f t="shared" si="14"/>
        <v>BANGALORE</v>
      </c>
      <c r="P103" s="3" t="str">
        <f t="shared" si="15"/>
        <v>Bangalore</v>
      </c>
      <c r="Q103" s="3">
        <f t="shared" si="16"/>
        <v>3.4641016151377544</v>
      </c>
    </row>
    <row r="104" spans="1:17">
      <c r="A104" t="s">
        <v>137</v>
      </c>
      <c r="B104" s="1">
        <v>45308</v>
      </c>
      <c r="C104" t="s">
        <v>22</v>
      </c>
      <c r="D104" t="s">
        <v>19</v>
      </c>
      <c r="E104" t="s">
        <v>30</v>
      </c>
      <c r="F104">
        <v>18</v>
      </c>
      <c r="G104">
        <v>1314.16</v>
      </c>
      <c r="H104">
        <v>23654.880000000001</v>
      </c>
      <c r="I104" t="str">
        <f t="shared" si="17"/>
        <v>Bulk Order</v>
      </c>
      <c r="J104" t="str">
        <f t="shared" si="9"/>
        <v>CityStore - Bangalore</v>
      </c>
      <c r="K104">
        <f t="shared" si="10"/>
        <v>14</v>
      </c>
      <c r="L104" t="str">
        <f t="shared" si="11"/>
        <v>Hom</v>
      </c>
      <c r="M104" s="3" t="str">
        <f t="shared" si="12"/>
        <v>RD110</v>
      </c>
      <c r="N104" s="3" t="str">
        <f t="shared" si="13"/>
        <v>bangalore</v>
      </c>
      <c r="O104" s="3" t="str">
        <f t="shared" si="14"/>
        <v>BANGALORE</v>
      </c>
      <c r="P104" s="3" t="str">
        <f t="shared" si="15"/>
        <v>Bangalore</v>
      </c>
      <c r="Q104" s="3">
        <f t="shared" si="16"/>
        <v>4.2426406871192848</v>
      </c>
    </row>
    <row r="105" spans="1:17">
      <c r="A105" t="s">
        <v>138</v>
      </c>
      <c r="B105" s="1">
        <v>45453</v>
      </c>
      <c r="C105" t="s">
        <v>39</v>
      </c>
      <c r="D105" t="s">
        <v>37</v>
      </c>
      <c r="E105" t="s">
        <v>44</v>
      </c>
      <c r="F105">
        <v>11</v>
      </c>
      <c r="G105">
        <v>1451.27</v>
      </c>
      <c r="H105">
        <v>15963.97</v>
      </c>
      <c r="I105" t="str">
        <f t="shared" si="17"/>
        <v>Bulk Order</v>
      </c>
      <c r="J105" t="str">
        <f t="shared" si="9"/>
        <v>Trendz - Hyderabad</v>
      </c>
      <c r="K105">
        <f t="shared" si="10"/>
        <v>9</v>
      </c>
      <c r="L105" t="str">
        <f t="shared" si="11"/>
        <v>Gro</v>
      </c>
      <c r="M105" s="3" t="str">
        <f t="shared" si="12"/>
        <v>RD110</v>
      </c>
      <c r="N105" s="3" t="str">
        <f t="shared" si="13"/>
        <v>hyderabad</v>
      </c>
      <c r="O105" s="3" t="str">
        <f t="shared" si="14"/>
        <v>HYDERABAD</v>
      </c>
      <c r="P105" s="3" t="str">
        <f t="shared" si="15"/>
        <v>Hyderabad</v>
      </c>
      <c r="Q105" s="3">
        <f t="shared" si="16"/>
        <v>3.3166247903553998</v>
      </c>
    </row>
    <row r="106" spans="1:17">
      <c r="A106" t="s">
        <v>139</v>
      </c>
      <c r="B106" s="1">
        <v>45497</v>
      </c>
      <c r="C106" t="s">
        <v>25</v>
      </c>
      <c r="D106" t="s">
        <v>29</v>
      </c>
      <c r="E106" t="s">
        <v>27</v>
      </c>
      <c r="F106">
        <v>6</v>
      </c>
      <c r="G106">
        <v>77.459999999999994</v>
      </c>
      <c r="H106">
        <v>464.76</v>
      </c>
      <c r="I106" t="str">
        <f t="shared" si="17"/>
        <v>Normal Order</v>
      </c>
      <c r="J106" t="str">
        <f t="shared" si="9"/>
        <v>QuickBuy - Kolkata</v>
      </c>
      <c r="K106">
        <f t="shared" si="10"/>
        <v>5</v>
      </c>
      <c r="L106" t="str">
        <f t="shared" si="11"/>
        <v>Boo</v>
      </c>
      <c r="M106" s="3" t="str">
        <f t="shared" si="12"/>
        <v>RD110</v>
      </c>
      <c r="N106" s="3" t="str">
        <f t="shared" si="13"/>
        <v>kolkata</v>
      </c>
      <c r="O106" s="3" t="str">
        <f t="shared" si="14"/>
        <v>KOLKATA</v>
      </c>
      <c r="P106" s="3" t="str">
        <f t="shared" si="15"/>
        <v>Kolkata</v>
      </c>
      <c r="Q106" s="3">
        <f t="shared" si="16"/>
        <v>2.4494897427831779</v>
      </c>
    </row>
    <row r="107" spans="1:17">
      <c r="A107" t="s">
        <v>140</v>
      </c>
      <c r="B107" s="1">
        <v>45429</v>
      </c>
      <c r="C107" t="s">
        <v>25</v>
      </c>
      <c r="D107" t="s">
        <v>37</v>
      </c>
      <c r="E107" t="s">
        <v>30</v>
      </c>
      <c r="F107">
        <v>15</v>
      </c>
      <c r="G107">
        <v>707.37</v>
      </c>
      <c r="H107">
        <v>10610.55</v>
      </c>
      <c r="I107" t="str">
        <f t="shared" si="17"/>
        <v>Bulk Order</v>
      </c>
      <c r="J107" t="str">
        <f t="shared" si="9"/>
        <v>QuickBuy - Hyderabad</v>
      </c>
      <c r="K107">
        <f t="shared" si="10"/>
        <v>14</v>
      </c>
      <c r="L107" t="str">
        <f t="shared" si="11"/>
        <v>Hom</v>
      </c>
      <c r="M107" s="3" t="str">
        <f t="shared" si="12"/>
        <v>RD110</v>
      </c>
      <c r="N107" s="3" t="str">
        <f t="shared" si="13"/>
        <v>hyderabad</v>
      </c>
      <c r="O107" s="3" t="str">
        <f t="shared" si="14"/>
        <v>HYDERABAD</v>
      </c>
      <c r="P107" s="3" t="str">
        <f t="shared" si="15"/>
        <v>Hyderabad</v>
      </c>
      <c r="Q107" s="3">
        <f t="shared" si="16"/>
        <v>3.872983346207417</v>
      </c>
    </row>
    <row r="108" spans="1:17">
      <c r="A108" t="s">
        <v>141</v>
      </c>
      <c r="B108" s="1">
        <v>45325</v>
      </c>
      <c r="C108" t="s">
        <v>25</v>
      </c>
      <c r="D108" t="s">
        <v>33</v>
      </c>
      <c r="E108" t="s">
        <v>27</v>
      </c>
      <c r="F108">
        <v>16</v>
      </c>
      <c r="G108">
        <v>625.29999999999995</v>
      </c>
      <c r="H108">
        <v>10004.799999999999</v>
      </c>
      <c r="I108" t="str">
        <f t="shared" si="17"/>
        <v>Bulk Order</v>
      </c>
      <c r="J108" t="str">
        <f t="shared" si="9"/>
        <v>QuickBuy - Chennai</v>
      </c>
      <c r="K108">
        <f t="shared" si="10"/>
        <v>5</v>
      </c>
      <c r="L108" t="str">
        <f t="shared" si="11"/>
        <v>Boo</v>
      </c>
      <c r="M108" s="3" t="str">
        <f t="shared" si="12"/>
        <v>RD110</v>
      </c>
      <c r="N108" s="3" t="str">
        <f t="shared" si="13"/>
        <v>chennai</v>
      </c>
      <c r="O108" s="3" t="str">
        <f t="shared" si="14"/>
        <v>CHENNAI</v>
      </c>
      <c r="P108" s="3" t="str">
        <f t="shared" si="15"/>
        <v>Chennai</v>
      </c>
      <c r="Q108" s="3">
        <f t="shared" si="16"/>
        <v>4</v>
      </c>
    </row>
    <row r="109" spans="1:17">
      <c r="A109" t="s">
        <v>142</v>
      </c>
      <c r="B109" s="1">
        <v>45400</v>
      </c>
      <c r="C109" t="s">
        <v>18</v>
      </c>
      <c r="D109" t="s">
        <v>33</v>
      </c>
      <c r="E109" t="s">
        <v>20</v>
      </c>
      <c r="F109">
        <v>6</v>
      </c>
      <c r="G109">
        <v>1365.08</v>
      </c>
      <c r="H109">
        <v>8190.48</v>
      </c>
      <c r="I109" t="str">
        <f t="shared" si="17"/>
        <v>Normal Order</v>
      </c>
      <c r="J109" t="str">
        <f t="shared" si="9"/>
        <v>ValueShop - Chennai</v>
      </c>
      <c r="K109">
        <f t="shared" si="10"/>
        <v>11</v>
      </c>
      <c r="L109" t="str">
        <f t="shared" si="11"/>
        <v>Ele</v>
      </c>
      <c r="M109" s="3" t="str">
        <f t="shared" si="12"/>
        <v>RD110</v>
      </c>
      <c r="N109" s="3" t="str">
        <f t="shared" si="13"/>
        <v>chennai</v>
      </c>
      <c r="O109" s="3" t="str">
        <f t="shared" si="14"/>
        <v>CHENNAI</v>
      </c>
      <c r="P109" s="3" t="str">
        <f t="shared" si="15"/>
        <v>Chennai</v>
      </c>
      <c r="Q109" s="3">
        <f t="shared" si="16"/>
        <v>2.4494897427831779</v>
      </c>
    </row>
    <row r="110" spans="1:17">
      <c r="A110" t="s">
        <v>143</v>
      </c>
      <c r="B110" s="1">
        <v>45582</v>
      </c>
      <c r="C110" t="s">
        <v>39</v>
      </c>
      <c r="D110" t="s">
        <v>19</v>
      </c>
      <c r="E110" t="s">
        <v>44</v>
      </c>
      <c r="F110">
        <v>5</v>
      </c>
      <c r="G110">
        <v>426.66</v>
      </c>
      <c r="H110">
        <v>2133.3000000000002</v>
      </c>
      <c r="I110" t="str">
        <f t="shared" si="17"/>
        <v>Normal Order</v>
      </c>
      <c r="J110" t="str">
        <f t="shared" si="9"/>
        <v>Trendz - Bangalore</v>
      </c>
      <c r="K110">
        <f t="shared" si="10"/>
        <v>9</v>
      </c>
      <c r="L110" t="str">
        <f t="shared" si="11"/>
        <v>Gro</v>
      </c>
      <c r="M110" s="3" t="str">
        <f t="shared" si="12"/>
        <v>RD110</v>
      </c>
      <c r="N110" s="3" t="str">
        <f t="shared" si="13"/>
        <v>bangalore</v>
      </c>
      <c r="O110" s="3" t="str">
        <f t="shared" si="14"/>
        <v>BANGALORE</v>
      </c>
      <c r="P110" s="3" t="str">
        <f t="shared" si="15"/>
        <v>Bangalore</v>
      </c>
      <c r="Q110" s="3">
        <f t="shared" si="16"/>
        <v>2.2360679774997898</v>
      </c>
    </row>
    <row r="111" spans="1:17">
      <c r="A111" t="s">
        <v>144</v>
      </c>
      <c r="B111" s="1">
        <v>45453</v>
      </c>
      <c r="C111" t="s">
        <v>25</v>
      </c>
      <c r="D111" t="s">
        <v>29</v>
      </c>
      <c r="E111" t="s">
        <v>34</v>
      </c>
      <c r="F111">
        <v>3</v>
      </c>
      <c r="G111">
        <v>1241.3599999999999</v>
      </c>
      <c r="H111">
        <v>3724.08</v>
      </c>
      <c r="I111" t="str">
        <f t="shared" si="17"/>
        <v>Normal Order</v>
      </c>
      <c r="J111" t="str">
        <f t="shared" si="9"/>
        <v>QuickBuy - Kolkata</v>
      </c>
      <c r="K111">
        <f t="shared" si="10"/>
        <v>4</v>
      </c>
      <c r="L111" t="str">
        <f t="shared" si="11"/>
        <v>Toy</v>
      </c>
      <c r="M111" s="3" t="str">
        <f t="shared" si="12"/>
        <v>RD110</v>
      </c>
      <c r="N111" s="3" t="str">
        <f t="shared" si="13"/>
        <v>kolkata</v>
      </c>
      <c r="O111" s="3" t="str">
        <f t="shared" si="14"/>
        <v>KOLKATA</v>
      </c>
      <c r="P111" s="3" t="str">
        <f t="shared" si="15"/>
        <v>Kolkata</v>
      </c>
      <c r="Q111" s="3">
        <f t="shared" si="16"/>
        <v>1.7320508075688772</v>
      </c>
    </row>
    <row r="112" spans="1:17">
      <c r="A112" t="s">
        <v>145</v>
      </c>
      <c r="B112" s="1">
        <v>45400</v>
      </c>
      <c r="C112" t="s">
        <v>25</v>
      </c>
      <c r="D112" t="s">
        <v>50</v>
      </c>
      <c r="E112" t="s">
        <v>44</v>
      </c>
      <c r="F112">
        <v>15</v>
      </c>
      <c r="G112">
        <v>1295.52</v>
      </c>
      <c r="H112">
        <v>19432.8</v>
      </c>
      <c r="I112" t="str">
        <f t="shared" si="17"/>
        <v>Bulk Order</v>
      </c>
      <c r="J112" t="str">
        <f t="shared" si="9"/>
        <v>QuickBuy - Mumbai</v>
      </c>
      <c r="K112">
        <f t="shared" si="10"/>
        <v>9</v>
      </c>
      <c r="L112" t="str">
        <f t="shared" si="11"/>
        <v>Gro</v>
      </c>
      <c r="M112" s="3" t="str">
        <f t="shared" si="12"/>
        <v>RD111</v>
      </c>
      <c r="N112" s="3" t="str">
        <f t="shared" si="13"/>
        <v>mumbai</v>
      </c>
      <c r="O112" s="3" t="str">
        <f t="shared" si="14"/>
        <v>MUMBAI</v>
      </c>
      <c r="P112" s="3" t="str">
        <f t="shared" si="15"/>
        <v>Mumbai</v>
      </c>
      <c r="Q112" s="3">
        <f t="shared" si="16"/>
        <v>3.872983346207417</v>
      </c>
    </row>
    <row r="113" spans="1:17">
      <c r="A113" t="s">
        <v>146</v>
      </c>
      <c r="B113" s="1">
        <v>45627</v>
      </c>
      <c r="C113" t="s">
        <v>39</v>
      </c>
      <c r="D113" t="s">
        <v>42</v>
      </c>
      <c r="E113" t="s">
        <v>44</v>
      </c>
      <c r="F113">
        <v>2</v>
      </c>
      <c r="G113">
        <v>840.71</v>
      </c>
      <c r="H113">
        <v>1681.42</v>
      </c>
      <c r="I113" t="str">
        <f t="shared" si="17"/>
        <v>Normal Order</v>
      </c>
      <c r="J113" t="str">
        <f t="shared" si="9"/>
        <v>Trendz - Pune</v>
      </c>
      <c r="K113">
        <f t="shared" si="10"/>
        <v>9</v>
      </c>
      <c r="L113" t="str">
        <f t="shared" si="11"/>
        <v>Gro</v>
      </c>
      <c r="M113" s="3" t="str">
        <f t="shared" si="12"/>
        <v>RD111</v>
      </c>
      <c r="N113" s="3" t="str">
        <f t="shared" si="13"/>
        <v>pune</v>
      </c>
      <c r="O113" s="3" t="str">
        <f t="shared" si="14"/>
        <v>PUNE</v>
      </c>
      <c r="P113" s="3" t="str">
        <f t="shared" si="15"/>
        <v>Pune</v>
      </c>
      <c r="Q113" s="3">
        <f t="shared" si="16"/>
        <v>1.4142135623730951</v>
      </c>
    </row>
    <row r="114" spans="1:17">
      <c r="A114" t="s">
        <v>147</v>
      </c>
      <c r="B114" s="1">
        <v>45547</v>
      </c>
      <c r="C114" t="s">
        <v>25</v>
      </c>
      <c r="D114" t="s">
        <v>50</v>
      </c>
      <c r="E114" t="s">
        <v>20</v>
      </c>
      <c r="F114">
        <v>10</v>
      </c>
      <c r="G114">
        <v>884.02</v>
      </c>
      <c r="H114">
        <v>8840.2000000000007</v>
      </c>
      <c r="I114" t="str">
        <f t="shared" si="17"/>
        <v>Normal Order</v>
      </c>
      <c r="J114" t="str">
        <f t="shared" si="9"/>
        <v>QuickBuy - Mumbai</v>
      </c>
      <c r="K114">
        <f t="shared" si="10"/>
        <v>11</v>
      </c>
      <c r="L114" t="str">
        <f t="shared" si="11"/>
        <v>Ele</v>
      </c>
      <c r="M114" s="3" t="str">
        <f t="shared" si="12"/>
        <v>RD111</v>
      </c>
      <c r="N114" s="3" t="str">
        <f t="shared" si="13"/>
        <v>mumbai</v>
      </c>
      <c r="O114" s="3" t="str">
        <f t="shared" si="14"/>
        <v>MUMBAI</v>
      </c>
      <c r="P114" s="3" t="str">
        <f t="shared" si="15"/>
        <v>Mumbai</v>
      </c>
      <c r="Q114" s="3">
        <f t="shared" si="16"/>
        <v>3.1622776601683795</v>
      </c>
    </row>
    <row r="115" spans="1:17">
      <c r="A115" t="s">
        <v>148</v>
      </c>
      <c r="B115" s="1">
        <v>45494</v>
      </c>
      <c r="C115" t="s">
        <v>39</v>
      </c>
      <c r="D115" t="s">
        <v>37</v>
      </c>
      <c r="E115" t="s">
        <v>34</v>
      </c>
      <c r="F115">
        <v>7</v>
      </c>
      <c r="G115">
        <v>689.46</v>
      </c>
      <c r="H115">
        <v>4826.22</v>
      </c>
      <c r="I115" t="str">
        <f t="shared" si="17"/>
        <v>Normal Order</v>
      </c>
      <c r="J115" t="str">
        <f t="shared" si="9"/>
        <v>Trendz - Hyderabad</v>
      </c>
      <c r="K115">
        <f t="shared" si="10"/>
        <v>4</v>
      </c>
      <c r="L115" t="str">
        <f t="shared" si="11"/>
        <v>Toy</v>
      </c>
      <c r="M115" s="3" t="str">
        <f t="shared" si="12"/>
        <v>RD111</v>
      </c>
      <c r="N115" s="3" t="str">
        <f t="shared" si="13"/>
        <v>hyderabad</v>
      </c>
      <c r="O115" s="3" t="str">
        <f t="shared" si="14"/>
        <v>HYDERABAD</v>
      </c>
      <c r="P115" s="3" t="str">
        <f t="shared" si="15"/>
        <v>Hyderabad</v>
      </c>
      <c r="Q115" s="3">
        <f t="shared" si="16"/>
        <v>2.6457513110645907</v>
      </c>
    </row>
    <row r="116" spans="1:17">
      <c r="A116" t="s">
        <v>149</v>
      </c>
      <c r="B116" s="1">
        <v>45621</v>
      </c>
      <c r="C116" t="s">
        <v>22</v>
      </c>
      <c r="D116" t="s">
        <v>33</v>
      </c>
      <c r="E116" t="s">
        <v>34</v>
      </c>
      <c r="F116">
        <v>2</v>
      </c>
      <c r="G116">
        <v>831.62</v>
      </c>
      <c r="H116">
        <v>1663.24</v>
      </c>
      <c r="I116" t="str">
        <f t="shared" si="17"/>
        <v>Normal Order</v>
      </c>
      <c r="J116" t="str">
        <f t="shared" si="9"/>
        <v>CityStore - Chennai</v>
      </c>
      <c r="K116">
        <f t="shared" si="10"/>
        <v>4</v>
      </c>
      <c r="L116" t="str">
        <f t="shared" si="11"/>
        <v>Toy</v>
      </c>
      <c r="M116" s="3" t="str">
        <f t="shared" si="12"/>
        <v>RD111</v>
      </c>
      <c r="N116" s="3" t="str">
        <f t="shared" si="13"/>
        <v>chennai</v>
      </c>
      <c r="O116" s="3" t="str">
        <f t="shared" si="14"/>
        <v>CHENNAI</v>
      </c>
      <c r="P116" s="3" t="str">
        <f t="shared" si="15"/>
        <v>Chennai</v>
      </c>
      <c r="Q116" s="3">
        <f t="shared" si="16"/>
        <v>1.4142135623730951</v>
      </c>
    </row>
    <row r="117" spans="1:17">
      <c r="A117" t="s">
        <v>150</v>
      </c>
      <c r="B117" s="1">
        <v>45526</v>
      </c>
      <c r="C117" t="s">
        <v>39</v>
      </c>
      <c r="D117" t="s">
        <v>50</v>
      </c>
      <c r="E117" t="s">
        <v>23</v>
      </c>
      <c r="F117">
        <v>7</v>
      </c>
      <c r="G117">
        <v>236</v>
      </c>
      <c r="H117">
        <v>1652</v>
      </c>
      <c r="I117" t="str">
        <f t="shared" si="17"/>
        <v>Normal Order</v>
      </c>
      <c r="J117" t="str">
        <f t="shared" si="9"/>
        <v>Trendz - Mumbai</v>
      </c>
      <c r="K117">
        <f t="shared" si="10"/>
        <v>8</v>
      </c>
      <c r="L117" t="str">
        <f t="shared" si="11"/>
        <v>Clo</v>
      </c>
      <c r="M117" s="3" t="str">
        <f t="shared" si="12"/>
        <v>RD111</v>
      </c>
      <c r="N117" s="3" t="str">
        <f t="shared" si="13"/>
        <v>mumbai</v>
      </c>
      <c r="O117" s="3" t="str">
        <f t="shared" si="14"/>
        <v>MUMBAI</v>
      </c>
      <c r="P117" s="3" t="str">
        <f t="shared" si="15"/>
        <v>Mumbai</v>
      </c>
      <c r="Q117" s="3">
        <f t="shared" si="16"/>
        <v>2.6457513110645907</v>
      </c>
    </row>
    <row r="118" spans="1:17">
      <c r="A118" t="s">
        <v>151</v>
      </c>
      <c r="B118" s="1">
        <v>45365</v>
      </c>
      <c r="C118" t="s">
        <v>39</v>
      </c>
      <c r="D118" t="s">
        <v>29</v>
      </c>
      <c r="E118" t="s">
        <v>23</v>
      </c>
      <c r="F118">
        <v>2</v>
      </c>
      <c r="G118">
        <v>1964.29</v>
      </c>
      <c r="H118">
        <v>3928.58</v>
      </c>
      <c r="I118" t="str">
        <f t="shared" si="17"/>
        <v>Normal Order</v>
      </c>
      <c r="J118" t="str">
        <f t="shared" si="9"/>
        <v>Trendz - Kolkata</v>
      </c>
      <c r="K118">
        <f t="shared" si="10"/>
        <v>8</v>
      </c>
      <c r="L118" t="str">
        <f t="shared" si="11"/>
        <v>Clo</v>
      </c>
      <c r="M118" s="3" t="str">
        <f t="shared" si="12"/>
        <v>RD111</v>
      </c>
      <c r="N118" s="3" t="str">
        <f t="shared" si="13"/>
        <v>kolkata</v>
      </c>
      <c r="O118" s="3" t="str">
        <f t="shared" si="14"/>
        <v>KOLKATA</v>
      </c>
      <c r="P118" s="3" t="str">
        <f t="shared" si="15"/>
        <v>Kolkata</v>
      </c>
      <c r="Q118" s="3">
        <f t="shared" si="16"/>
        <v>1.4142135623730951</v>
      </c>
    </row>
    <row r="119" spans="1:17">
      <c r="A119" t="s">
        <v>152</v>
      </c>
      <c r="B119" s="1">
        <v>45427</v>
      </c>
      <c r="C119" t="s">
        <v>18</v>
      </c>
      <c r="D119" t="s">
        <v>29</v>
      </c>
      <c r="E119" t="s">
        <v>27</v>
      </c>
      <c r="F119">
        <v>11</v>
      </c>
      <c r="G119">
        <v>981.04</v>
      </c>
      <c r="H119">
        <v>10791.44</v>
      </c>
      <c r="I119" t="str">
        <f t="shared" si="17"/>
        <v>Bulk Order</v>
      </c>
      <c r="J119" t="str">
        <f t="shared" si="9"/>
        <v>ValueShop - Kolkata</v>
      </c>
      <c r="K119">
        <f t="shared" si="10"/>
        <v>5</v>
      </c>
      <c r="L119" t="str">
        <f t="shared" si="11"/>
        <v>Boo</v>
      </c>
      <c r="M119" s="3" t="str">
        <f t="shared" si="12"/>
        <v>RD111</v>
      </c>
      <c r="N119" s="3" t="str">
        <f t="shared" si="13"/>
        <v>kolkata</v>
      </c>
      <c r="O119" s="3" t="str">
        <f t="shared" si="14"/>
        <v>KOLKATA</v>
      </c>
      <c r="P119" s="3" t="str">
        <f t="shared" si="15"/>
        <v>Kolkata</v>
      </c>
      <c r="Q119" s="3">
        <f t="shared" si="16"/>
        <v>3.3166247903553998</v>
      </c>
    </row>
    <row r="120" spans="1:17">
      <c r="A120" t="s">
        <v>153</v>
      </c>
      <c r="B120" s="1">
        <v>45363</v>
      </c>
      <c r="C120" t="s">
        <v>22</v>
      </c>
      <c r="D120" t="s">
        <v>33</v>
      </c>
      <c r="E120" t="s">
        <v>30</v>
      </c>
      <c r="F120">
        <v>10</v>
      </c>
      <c r="G120">
        <v>1874.86</v>
      </c>
      <c r="H120">
        <v>18748.599999999999</v>
      </c>
      <c r="I120" t="str">
        <f t="shared" si="17"/>
        <v>Normal Order</v>
      </c>
      <c r="J120" t="str">
        <f t="shared" si="9"/>
        <v>CityStore - Chennai</v>
      </c>
      <c r="K120">
        <f t="shared" si="10"/>
        <v>14</v>
      </c>
      <c r="L120" t="str">
        <f t="shared" si="11"/>
        <v>Hom</v>
      </c>
      <c r="M120" s="3" t="str">
        <f t="shared" si="12"/>
        <v>RD111</v>
      </c>
      <c r="N120" s="3" t="str">
        <f t="shared" si="13"/>
        <v>chennai</v>
      </c>
      <c r="O120" s="3" t="str">
        <f t="shared" si="14"/>
        <v>CHENNAI</v>
      </c>
      <c r="P120" s="3" t="str">
        <f t="shared" si="15"/>
        <v>Chennai</v>
      </c>
      <c r="Q120" s="3">
        <f t="shared" si="16"/>
        <v>3.1622776601683795</v>
      </c>
    </row>
    <row r="121" spans="1:17">
      <c r="A121" t="s">
        <v>154</v>
      </c>
      <c r="B121" s="1">
        <v>45418</v>
      </c>
      <c r="C121" t="s">
        <v>18</v>
      </c>
      <c r="D121" t="s">
        <v>26</v>
      </c>
      <c r="E121" t="s">
        <v>23</v>
      </c>
      <c r="F121">
        <v>17</v>
      </c>
      <c r="G121">
        <v>63.32</v>
      </c>
      <c r="H121">
        <v>1076.44</v>
      </c>
      <c r="I121" t="str">
        <f t="shared" si="17"/>
        <v>Bulk Order</v>
      </c>
      <c r="J121" t="str">
        <f t="shared" si="9"/>
        <v>ValueShop - Delhi</v>
      </c>
      <c r="K121">
        <f t="shared" si="10"/>
        <v>8</v>
      </c>
      <c r="L121" t="str">
        <f t="shared" si="11"/>
        <v>Clo</v>
      </c>
      <c r="M121" s="3" t="str">
        <f t="shared" si="12"/>
        <v>RD111</v>
      </c>
      <c r="N121" s="3" t="str">
        <f t="shared" si="13"/>
        <v>delhi</v>
      </c>
      <c r="O121" s="3" t="str">
        <f t="shared" si="14"/>
        <v>DELHI</v>
      </c>
      <c r="P121" s="3" t="str">
        <f t="shared" si="15"/>
        <v>Delhi</v>
      </c>
      <c r="Q121" s="3">
        <f t="shared" si="16"/>
        <v>4.1231056256176606</v>
      </c>
    </row>
    <row r="122" spans="1:17">
      <c r="A122" t="s">
        <v>155</v>
      </c>
      <c r="B122" s="1">
        <v>45579</v>
      </c>
      <c r="C122" t="s">
        <v>25</v>
      </c>
      <c r="D122" t="s">
        <v>19</v>
      </c>
      <c r="E122" t="s">
        <v>20</v>
      </c>
      <c r="F122">
        <v>13</v>
      </c>
      <c r="G122">
        <v>797.97</v>
      </c>
      <c r="H122">
        <v>10373.61</v>
      </c>
      <c r="I122" t="str">
        <f t="shared" si="17"/>
        <v>Bulk Order</v>
      </c>
      <c r="J122" t="str">
        <f t="shared" si="9"/>
        <v>QuickBuy - Bangalore</v>
      </c>
      <c r="K122">
        <f t="shared" si="10"/>
        <v>11</v>
      </c>
      <c r="L122" t="str">
        <f t="shared" si="11"/>
        <v>Ele</v>
      </c>
      <c r="M122" s="3" t="str">
        <f t="shared" si="12"/>
        <v>RD112</v>
      </c>
      <c r="N122" s="3" t="str">
        <f t="shared" si="13"/>
        <v>bangalore</v>
      </c>
      <c r="O122" s="3" t="str">
        <f t="shared" si="14"/>
        <v>BANGALORE</v>
      </c>
      <c r="P122" s="3" t="str">
        <f t="shared" si="15"/>
        <v>Bangalore</v>
      </c>
      <c r="Q122" s="3">
        <f t="shared" si="16"/>
        <v>3.6055512754639891</v>
      </c>
    </row>
    <row r="123" spans="1:17">
      <c r="A123" t="s">
        <v>156</v>
      </c>
      <c r="B123" s="1">
        <v>45567</v>
      </c>
      <c r="C123" t="s">
        <v>39</v>
      </c>
      <c r="D123" t="s">
        <v>42</v>
      </c>
      <c r="E123" t="s">
        <v>44</v>
      </c>
      <c r="F123">
        <v>18</v>
      </c>
      <c r="G123">
        <v>921.13</v>
      </c>
      <c r="H123">
        <v>16580.34</v>
      </c>
      <c r="I123" t="str">
        <f t="shared" si="17"/>
        <v>Bulk Order</v>
      </c>
      <c r="J123" t="str">
        <f t="shared" si="9"/>
        <v>Trendz - Pune</v>
      </c>
      <c r="K123">
        <f t="shared" si="10"/>
        <v>9</v>
      </c>
      <c r="L123" t="str">
        <f t="shared" si="11"/>
        <v>Gro</v>
      </c>
      <c r="M123" s="3" t="str">
        <f t="shared" si="12"/>
        <v>RD112</v>
      </c>
      <c r="N123" s="3" t="str">
        <f t="shared" si="13"/>
        <v>pune</v>
      </c>
      <c r="O123" s="3" t="str">
        <f t="shared" si="14"/>
        <v>PUNE</v>
      </c>
      <c r="P123" s="3" t="str">
        <f t="shared" si="15"/>
        <v>Pune</v>
      </c>
      <c r="Q123" s="3">
        <f t="shared" si="16"/>
        <v>4.2426406871192848</v>
      </c>
    </row>
    <row r="124" spans="1:17">
      <c r="A124" t="s">
        <v>157</v>
      </c>
      <c r="B124" s="1">
        <v>45426</v>
      </c>
      <c r="C124" t="s">
        <v>22</v>
      </c>
      <c r="D124" t="s">
        <v>33</v>
      </c>
      <c r="E124" t="s">
        <v>34</v>
      </c>
      <c r="F124">
        <v>16</v>
      </c>
      <c r="G124">
        <v>570.64</v>
      </c>
      <c r="H124">
        <v>9130.24</v>
      </c>
      <c r="I124" t="str">
        <f t="shared" si="17"/>
        <v>Bulk Order</v>
      </c>
      <c r="J124" t="str">
        <f t="shared" si="9"/>
        <v>CityStore - Chennai</v>
      </c>
      <c r="K124">
        <f t="shared" si="10"/>
        <v>4</v>
      </c>
      <c r="L124" t="str">
        <f t="shared" si="11"/>
        <v>Toy</v>
      </c>
      <c r="M124" s="3" t="str">
        <f t="shared" si="12"/>
        <v>RD112</v>
      </c>
      <c r="N124" s="3" t="str">
        <f t="shared" si="13"/>
        <v>chennai</v>
      </c>
      <c r="O124" s="3" t="str">
        <f t="shared" si="14"/>
        <v>CHENNAI</v>
      </c>
      <c r="P124" s="3" t="str">
        <f t="shared" si="15"/>
        <v>Chennai</v>
      </c>
      <c r="Q124" s="3">
        <f t="shared" si="16"/>
        <v>4</v>
      </c>
    </row>
    <row r="125" spans="1:17">
      <c r="A125" t="s">
        <v>158</v>
      </c>
      <c r="B125" s="1">
        <v>45591</v>
      </c>
      <c r="C125" t="s">
        <v>18</v>
      </c>
      <c r="D125" t="s">
        <v>42</v>
      </c>
      <c r="E125" t="s">
        <v>44</v>
      </c>
      <c r="F125">
        <v>9</v>
      </c>
      <c r="G125">
        <v>692.77</v>
      </c>
      <c r="H125">
        <v>6234.93</v>
      </c>
      <c r="I125" t="str">
        <f t="shared" si="17"/>
        <v>Normal Order</v>
      </c>
      <c r="J125" t="str">
        <f t="shared" si="9"/>
        <v>ValueShop - Pune</v>
      </c>
      <c r="K125">
        <f t="shared" si="10"/>
        <v>9</v>
      </c>
      <c r="L125" t="str">
        <f t="shared" si="11"/>
        <v>Gro</v>
      </c>
      <c r="M125" s="3" t="str">
        <f t="shared" si="12"/>
        <v>RD112</v>
      </c>
      <c r="N125" s="3" t="str">
        <f t="shared" si="13"/>
        <v>pune</v>
      </c>
      <c r="O125" s="3" t="str">
        <f t="shared" si="14"/>
        <v>PUNE</v>
      </c>
      <c r="P125" s="3" t="str">
        <f t="shared" si="15"/>
        <v>Pune</v>
      </c>
      <c r="Q125" s="3">
        <f t="shared" si="16"/>
        <v>3</v>
      </c>
    </row>
    <row r="126" spans="1:17">
      <c r="A126" t="s">
        <v>159</v>
      </c>
      <c r="B126" s="1">
        <v>45511</v>
      </c>
      <c r="C126" t="s">
        <v>39</v>
      </c>
      <c r="D126" t="s">
        <v>29</v>
      </c>
      <c r="E126" t="s">
        <v>20</v>
      </c>
      <c r="F126">
        <v>2</v>
      </c>
      <c r="G126">
        <v>1185.8</v>
      </c>
      <c r="H126">
        <v>2371.6</v>
      </c>
      <c r="I126" t="str">
        <f t="shared" si="17"/>
        <v>Normal Order</v>
      </c>
      <c r="J126" t="str">
        <f t="shared" si="9"/>
        <v>Trendz - Kolkata</v>
      </c>
      <c r="K126">
        <f t="shared" si="10"/>
        <v>11</v>
      </c>
      <c r="L126" t="str">
        <f t="shared" si="11"/>
        <v>Ele</v>
      </c>
      <c r="M126" s="3" t="str">
        <f t="shared" si="12"/>
        <v>RD112</v>
      </c>
      <c r="N126" s="3" t="str">
        <f t="shared" si="13"/>
        <v>kolkata</v>
      </c>
      <c r="O126" s="3" t="str">
        <f t="shared" si="14"/>
        <v>KOLKATA</v>
      </c>
      <c r="P126" s="3" t="str">
        <f t="shared" si="15"/>
        <v>Kolkata</v>
      </c>
      <c r="Q126" s="3">
        <f t="shared" si="16"/>
        <v>1.4142135623730951</v>
      </c>
    </row>
    <row r="127" spans="1:17">
      <c r="A127" t="s">
        <v>160</v>
      </c>
      <c r="B127" s="1">
        <v>45590</v>
      </c>
      <c r="C127" t="s">
        <v>32</v>
      </c>
      <c r="D127" t="s">
        <v>33</v>
      </c>
      <c r="E127" t="s">
        <v>44</v>
      </c>
      <c r="F127">
        <v>7</v>
      </c>
      <c r="G127">
        <v>1167.1099999999999</v>
      </c>
      <c r="H127">
        <v>8169.77</v>
      </c>
      <c r="I127" t="str">
        <f t="shared" si="17"/>
        <v>Normal Order</v>
      </c>
      <c r="J127" t="str">
        <f t="shared" si="9"/>
        <v>MegaMart - Chennai</v>
      </c>
      <c r="K127">
        <f t="shared" si="10"/>
        <v>9</v>
      </c>
      <c r="L127" t="str">
        <f t="shared" si="11"/>
        <v>Gro</v>
      </c>
      <c r="M127" s="3" t="str">
        <f t="shared" si="12"/>
        <v>RD112</v>
      </c>
      <c r="N127" s="3" t="str">
        <f t="shared" si="13"/>
        <v>chennai</v>
      </c>
      <c r="O127" s="3" t="str">
        <f t="shared" si="14"/>
        <v>CHENNAI</v>
      </c>
      <c r="P127" s="3" t="str">
        <f t="shared" si="15"/>
        <v>Chennai</v>
      </c>
      <c r="Q127" s="3">
        <f t="shared" si="16"/>
        <v>2.6457513110645907</v>
      </c>
    </row>
    <row r="128" spans="1:17">
      <c r="A128" t="s">
        <v>161</v>
      </c>
      <c r="B128" s="1">
        <v>45496</v>
      </c>
      <c r="C128" t="s">
        <v>18</v>
      </c>
      <c r="D128" t="s">
        <v>33</v>
      </c>
      <c r="E128" t="s">
        <v>34</v>
      </c>
      <c r="F128">
        <v>10</v>
      </c>
      <c r="G128">
        <v>560.03</v>
      </c>
      <c r="H128">
        <v>5600.2999999999993</v>
      </c>
      <c r="I128" t="str">
        <f t="shared" si="17"/>
        <v>Normal Order</v>
      </c>
      <c r="J128" t="str">
        <f t="shared" si="9"/>
        <v>ValueShop - Chennai</v>
      </c>
      <c r="K128">
        <f t="shared" si="10"/>
        <v>4</v>
      </c>
      <c r="L128" t="str">
        <f t="shared" si="11"/>
        <v>Toy</v>
      </c>
      <c r="M128" s="3" t="str">
        <f t="shared" si="12"/>
        <v>RD112</v>
      </c>
      <c r="N128" s="3" t="str">
        <f t="shared" si="13"/>
        <v>chennai</v>
      </c>
      <c r="O128" s="3" t="str">
        <f t="shared" si="14"/>
        <v>CHENNAI</v>
      </c>
      <c r="P128" s="3" t="str">
        <f t="shared" si="15"/>
        <v>Chennai</v>
      </c>
      <c r="Q128" s="3">
        <f t="shared" si="16"/>
        <v>3.1622776601683795</v>
      </c>
    </row>
    <row r="129" spans="1:17">
      <c r="A129" t="s">
        <v>162</v>
      </c>
      <c r="B129" s="1">
        <v>45477</v>
      </c>
      <c r="C129" t="s">
        <v>22</v>
      </c>
      <c r="D129" t="s">
        <v>42</v>
      </c>
      <c r="E129" t="s">
        <v>23</v>
      </c>
      <c r="F129">
        <v>12</v>
      </c>
      <c r="G129">
        <v>751.13</v>
      </c>
      <c r="H129">
        <v>9013.56</v>
      </c>
      <c r="I129" t="str">
        <f t="shared" si="17"/>
        <v>Bulk Order</v>
      </c>
      <c r="J129" t="str">
        <f t="shared" si="9"/>
        <v>CityStore - Pune</v>
      </c>
      <c r="K129">
        <f t="shared" si="10"/>
        <v>8</v>
      </c>
      <c r="L129" t="str">
        <f t="shared" si="11"/>
        <v>Clo</v>
      </c>
      <c r="M129" s="3" t="str">
        <f t="shared" si="12"/>
        <v>RD112</v>
      </c>
      <c r="N129" s="3" t="str">
        <f t="shared" si="13"/>
        <v>pune</v>
      </c>
      <c r="O129" s="3" t="str">
        <f t="shared" si="14"/>
        <v>PUNE</v>
      </c>
      <c r="P129" s="3" t="str">
        <f t="shared" si="15"/>
        <v>Pune</v>
      </c>
      <c r="Q129" s="3">
        <f t="shared" si="16"/>
        <v>3.4641016151377544</v>
      </c>
    </row>
    <row r="130" spans="1:17">
      <c r="A130" t="s">
        <v>163</v>
      </c>
      <c r="B130" s="1">
        <v>45404</v>
      </c>
      <c r="C130" t="s">
        <v>18</v>
      </c>
      <c r="D130" t="s">
        <v>29</v>
      </c>
      <c r="E130" t="s">
        <v>30</v>
      </c>
      <c r="F130">
        <v>2</v>
      </c>
      <c r="G130">
        <v>510.79</v>
      </c>
      <c r="H130">
        <v>1021.58</v>
      </c>
      <c r="I130" t="str">
        <f t="shared" si="17"/>
        <v>Normal Order</v>
      </c>
      <c r="J130" t="str">
        <f t="shared" ref="J130:J193" si="18">_xlfn.CONCAT(C130, " - ", D130)</f>
        <v>ValueShop - Kolkata</v>
      </c>
      <c r="K130">
        <f t="shared" ref="K130:K193" si="19">LEN(E130)</f>
        <v>14</v>
      </c>
      <c r="L130" t="str">
        <f t="shared" ref="L130:L193" si="20">LEFT(E130, 3)</f>
        <v>Hom</v>
      </c>
      <c r="M130" s="3" t="str">
        <f t="shared" ref="M130:M193" si="21">MID(A130, 2, 5)</f>
        <v>RD112</v>
      </c>
      <c r="N130" s="3" t="str">
        <f t="shared" ref="N130:N193" si="22">LOWER(D130)</f>
        <v>kolkata</v>
      </c>
      <c r="O130" s="3" t="str">
        <f t="shared" ref="O130:O193" si="23">UPPER(D130)</f>
        <v>KOLKATA</v>
      </c>
      <c r="P130" s="3" t="str">
        <f t="shared" ref="P130:P193" si="24">PROPER(D130)</f>
        <v>Kolkata</v>
      </c>
      <c r="Q130" s="3">
        <f t="shared" ref="Q130:Q193" si="25">SQRT(F130)</f>
        <v>1.4142135623730951</v>
      </c>
    </row>
    <row r="131" spans="1:17">
      <c r="A131" t="s">
        <v>164</v>
      </c>
      <c r="B131" s="1">
        <v>45362</v>
      </c>
      <c r="C131" t="s">
        <v>18</v>
      </c>
      <c r="D131" t="s">
        <v>29</v>
      </c>
      <c r="E131" t="s">
        <v>34</v>
      </c>
      <c r="F131">
        <v>11</v>
      </c>
      <c r="G131">
        <v>1352.18</v>
      </c>
      <c r="H131">
        <v>14873.98</v>
      </c>
      <c r="I131" t="str">
        <f t="shared" ref="I131:I194" si="26">IF(F131&gt;10,"Bulk Order","Normal Order")</f>
        <v>Bulk Order</v>
      </c>
      <c r="J131" t="str">
        <f t="shared" si="18"/>
        <v>ValueShop - Kolkata</v>
      </c>
      <c r="K131">
        <f t="shared" si="19"/>
        <v>4</v>
      </c>
      <c r="L131" t="str">
        <f t="shared" si="20"/>
        <v>Toy</v>
      </c>
      <c r="M131" s="3" t="str">
        <f t="shared" si="21"/>
        <v>RD112</v>
      </c>
      <c r="N131" s="3" t="str">
        <f t="shared" si="22"/>
        <v>kolkata</v>
      </c>
      <c r="O131" s="3" t="str">
        <f t="shared" si="23"/>
        <v>KOLKATA</v>
      </c>
      <c r="P131" s="3" t="str">
        <f t="shared" si="24"/>
        <v>Kolkata</v>
      </c>
      <c r="Q131" s="3">
        <f t="shared" si="25"/>
        <v>3.3166247903553998</v>
      </c>
    </row>
    <row r="132" spans="1:17">
      <c r="A132" t="s">
        <v>165</v>
      </c>
      <c r="B132" s="1">
        <v>45552</v>
      </c>
      <c r="C132" t="s">
        <v>18</v>
      </c>
      <c r="D132" t="s">
        <v>42</v>
      </c>
      <c r="E132" t="s">
        <v>34</v>
      </c>
      <c r="F132">
        <v>9</v>
      </c>
      <c r="G132">
        <v>957.52</v>
      </c>
      <c r="H132">
        <v>8617.68</v>
      </c>
      <c r="I132" t="str">
        <f t="shared" si="26"/>
        <v>Normal Order</v>
      </c>
      <c r="J132" t="str">
        <f t="shared" si="18"/>
        <v>ValueShop - Pune</v>
      </c>
      <c r="K132">
        <f t="shared" si="19"/>
        <v>4</v>
      </c>
      <c r="L132" t="str">
        <f t="shared" si="20"/>
        <v>Toy</v>
      </c>
      <c r="M132" s="3" t="str">
        <f t="shared" si="21"/>
        <v>RD113</v>
      </c>
      <c r="N132" s="3" t="str">
        <f t="shared" si="22"/>
        <v>pune</v>
      </c>
      <c r="O132" s="3" t="str">
        <f t="shared" si="23"/>
        <v>PUNE</v>
      </c>
      <c r="P132" s="3" t="str">
        <f t="shared" si="24"/>
        <v>Pune</v>
      </c>
      <c r="Q132" s="3">
        <f t="shared" si="25"/>
        <v>3</v>
      </c>
    </row>
    <row r="133" spans="1:17">
      <c r="A133" t="s">
        <v>166</v>
      </c>
      <c r="B133" s="1">
        <v>45544</v>
      </c>
      <c r="C133" t="s">
        <v>25</v>
      </c>
      <c r="D133" t="s">
        <v>50</v>
      </c>
      <c r="E133" t="s">
        <v>34</v>
      </c>
      <c r="F133">
        <v>4</v>
      </c>
      <c r="G133">
        <v>361.45</v>
      </c>
      <c r="H133">
        <v>1445.8</v>
      </c>
      <c r="I133" t="str">
        <f t="shared" si="26"/>
        <v>Normal Order</v>
      </c>
      <c r="J133" t="str">
        <f t="shared" si="18"/>
        <v>QuickBuy - Mumbai</v>
      </c>
      <c r="K133">
        <f t="shared" si="19"/>
        <v>4</v>
      </c>
      <c r="L133" t="str">
        <f t="shared" si="20"/>
        <v>Toy</v>
      </c>
      <c r="M133" s="3" t="str">
        <f t="shared" si="21"/>
        <v>RD113</v>
      </c>
      <c r="N133" s="3" t="str">
        <f t="shared" si="22"/>
        <v>mumbai</v>
      </c>
      <c r="O133" s="3" t="str">
        <f t="shared" si="23"/>
        <v>MUMBAI</v>
      </c>
      <c r="P133" s="3" t="str">
        <f t="shared" si="24"/>
        <v>Mumbai</v>
      </c>
      <c r="Q133" s="3">
        <f t="shared" si="25"/>
        <v>2</v>
      </c>
    </row>
    <row r="134" spans="1:17">
      <c r="A134" t="s">
        <v>167</v>
      </c>
      <c r="B134" s="1">
        <v>45338</v>
      </c>
      <c r="C134" t="s">
        <v>32</v>
      </c>
      <c r="D134" t="s">
        <v>33</v>
      </c>
      <c r="E134" t="s">
        <v>27</v>
      </c>
      <c r="F134">
        <v>12</v>
      </c>
      <c r="G134">
        <v>1387.84</v>
      </c>
      <c r="H134">
        <v>16654.080000000002</v>
      </c>
      <c r="I134" t="str">
        <f t="shared" si="26"/>
        <v>Bulk Order</v>
      </c>
      <c r="J134" t="str">
        <f t="shared" si="18"/>
        <v>MegaMart - Chennai</v>
      </c>
      <c r="K134">
        <f t="shared" si="19"/>
        <v>5</v>
      </c>
      <c r="L134" t="str">
        <f t="shared" si="20"/>
        <v>Boo</v>
      </c>
      <c r="M134" s="3" t="str">
        <f t="shared" si="21"/>
        <v>RD113</v>
      </c>
      <c r="N134" s="3" t="str">
        <f t="shared" si="22"/>
        <v>chennai</v>
      </c>
      <c r="O134" s="3" t="str">
        <f t="shared" si="23"/>
        <v>CHENNAI</v>
      </c>
      <c r="P134" s="3" t="str">
        <f t="shared" si="24"/>
        <v>Chennai</v>
      </c>
      <c r="Q134" s="3">
        <f t="shared" si="25"/>
        <v>3.4641016151377544</v>
      </c>
    </row>
    <row r="135" spans="1:17">
      <c r="A135" t="s">
        <v>168</v>
      </c>
      <c r="B135" s="1">
        <v>45316</v>
      </c>
      <c r="C135" t="s">
        <v>22</v>
      </c>
      <c r="D135" t="s">
        <v>26</v>
      </c>
      <c r="E135" t="s">
        <v>27</v>
      </c>
      <c r="F135">
        <v>14</v>
      </c>
      <c r="G135">
        <v>1850.06</v>
      </c>
      <c r="H135">
        <v>25900.84</v>
      </c>
      <c r="I135" t="str">
        <f t="shared" si="26"/>
        <v>Bulk Order</v>
      </c>
      <c r="J135" t="str">
        <f t="shared" si="18"/>
        <v>CityStore - Delhi</v>
      </c>
      <c r="K135">
        <f t="shared" si="19"/>
        <v>5</v>
      </c>
      <c r="L135" t="str">
        <f t="shared" si="20"/>
        <v>Boo</v>
      </c>
      <c r="M135" s="3" t="str">
        <f t="shared" si="21"/>
        <v>RD113</v>
      </c>
      <c r="N135" s="3" t="str">
        <f t="shared" si="22"/>
        <v>delhi</v>
      </c>
      <c r="O135" s="3" t="str">
        <f t="shared" si="23"/>
        <v>DELHI</v>
      </c>
      <c r="P135" s="3" t="str">
        <f t="shared" si="24"/>
        <v>Delhi</v>
      </c>
      <c r="Q135" s="3">
        <f t="shared" si="25"/>
        <v>3.7416573867739413</v>
      </c>
    </row>
    <row r="136" spans="1:17">
      <c r="A136" t="s">
        <v>169</v>
      </c>
      <c r="B136" s="1">
        <v>45348</v>
      </c>
      <c r="C136" t="s">
        <v>22</v>
      </c>
      <c r="D136" t="s">
        <v>50</v>
      </c>
      <c r="E136" t="s">
        <v>34</v>
      </c>
      <c r="F136">
        <v>13</v>
      </c>
      <c r="G136">
        <v>1781.21</v>
      </c>
      <c r="H136">
        <v>23155.73</v>
      </c>
      <c r="I136" t="str">
        <f t="shared" si="26"/>
        <v>Bulk Order</v>
      </c>
      <c r="J136" t="str">
        <f t="shared" si="18"/>
        <v>CityStore - Mumbai</v>
      </c>
      <c r="K136">
        <f t="shared" si="19"/>
        <v>4</v>
      </c>
      <c r="L136" t="str">
        <f t="shared" si="20"/>
        <v>Toy</v>
      </c>
      <c r="M136" s="3" t="str">
        <f t="shared" si="21"/>
        <v>RD113</v>
      </c>
      <c r="N136" s="3" t="str">
        <f t="shared" si="22"/>
        <v>mumbai</v>
      </c>
      <c r="O136" s="3" t="str">
        <f t="shared" si="23"/>
        <v>MUMBAI</v>
      </c>
      <c r="P136" s="3" t="str">
        <f t="shared" si="24"/>
        <v>Mumbai</v>
      </c>
      <c r="Q136" s="3">
        <f t="shared" si="25"/>
        <v>3.6055512754639891</v>
      </c>
    </row>
    <row r="137" spans="1:17">
      <c r="A137" t="s">
        <v>170</v>
      </c>
      <c r="B137" s="1">
        <v>45370</v>
      </c>
      <c r="C137" t="s">
        <v>22</v>
      </c>
      <c r="D137" t="s">
        <v>37</v>
      </c>
      <c r="E137" t="s">
        <v>20</v>
      </c>
      <c r="F137">
        <v>15</v>
      </c>
      <c r="G137">
        <v>1551.19</v>
      </c>
      <c r="H137">
        <v>23267.85</v>
      </c>
      <c r="I137" t="str">
        <f t="shared" si="26"/>
        <v>Bulk Order</v>
      </c>
      <c r="J137" t="str">
        <f t="shared" si="18"/>
        <v>CityStore - Hyderabad</v>
      </c>
      <c r="K137">
        <f t="shared" si="19"/>
        <v>11</v>
      </c>
      <c r="L137" t="str">
        <f t="shared" si="20"/>
        <v>Ele</v>
      </c>
      <c r="M137" s="3" t="str">
        <f t="shared" si="21"/>
        <v>RD113</v>
      </c>
      <c r="N137" s="3" t="str">
        <f t="shared" si="22"/>
        <v>hyderabad</v>
      </c>
      <c r="O137" s="3" t="str">
        <f t="shared" si="23"/>
        <v>HYDERABAD</v>
      </c>
      <c r="P137" s="3" t="str">
        <f t="shared" si="24"/>
        <v>Hyderabad</v>
      </c>
      <c r="Q137" s="3">
        <f t="shared" si="25"/>
        <v>3.872983346207417</v>
      </c>
    </row>
    <row r="138" spans="1:17">
      <c r="A138" t="s">
        <v>171</v>
      </c>
      <c r="B138" s="1">
        <v>45613</v>
      </c>
      <c r="C138" t="s">
        <v>39</v>
      </c>
      <c r="D138" t="s">
        <v>37</v>
      </c>
      <c r="E138" t="s">
        <v>34</v>
      </c>
      <c r="F138">
        <v>13</v>
      </c>
      <c r="G138">
        <v>1396.07</v>
      </c>
      <c r="H138">
        <v>18148.91</v>
      </c>
      <c r="I138" t="str">
        <f t="shared" si="26"/>
        <v>Bulk Order</v>
      </c>
      <c r="J138" t="str">
        <f t="shared" si="18"/>
        <v>Trendz - Hyderabad</v>
      </c>
      <c r="K138">
        <f t="shared" si="19"/>
        <v>4</v>
      </c>
      <c r="L138" t="str">
        <f t="shared" si="20"/>
        <v>Toy</v>
      </c>
      <c r="M138" s="3" t="str">
        <f t="shared" si="21"/>
        <v>RD113</v>
      </c>
      <c r="N138" s="3" t="str">
        <f t="shared" si="22"/>
        <v>hyderabad</v>
      </c>
      <c r="O138" s="3" t="str">
        <f t="shared" si="23"/>
        <v>HYDERABAD</v>
      </c>
      <c r="P138" s="3" t="str">
        <f t="shared" si="24"/>
        <v>Hyderabad</v>
      </c>
      <c r="Q138" s="3">
        <f t="shared" si="25"/>
        <v>3.6055512754639891</v>
      </c>
    </row>
    <row r="139" spans="1:17">
      <c r="A139" t="s">
        <v>172</v>
      </c>
      <c r="B139" s="1">
        <v>45373</v>
      </c>
      <c r="C139" t="s">
        <v>22</v>
      </c>
      <c r="D139" t="s">
        <v>19</v>
      </c>
      <c r="E139" t="s">
        <v>27</v>
      </c>
      <c r="F139">
        <v>11</v>
      </c>
      <c r="G139">
        <v>1295.49</v>
      </c>
      <c r="H139">
        <v>14250.39</v>
      </c>
      <c r="I139" t="str">
        <f t="shared" si="26"/>
        <v>Bulk Order</v>
      </c>
      <c r="J139" t="str">
        <f t="shared" si="18"/>
        <v>CityStore - Bangalore</v>
      </c>
      <c r="K139">
        <f t="shared" si="19"/>
        <v>5</v>
      </c>
      <c r="L139" t="str">
        <f t="shared" si="20"/>
        <v>Boo</v>
      </c>
      <c r="M139" s="3" t="str">
        <f t="shared" si="21"/>
        <v>RD113</v>
      </c>
      <c r="N139" s="3" t="str">
        <f t="shared" si="22"/>
        <v>bangalore</v>
      </c>
      <c r="O139" s="3" t="str">
        <f t="shared" si="23"/>
        <v>BANGALORE</v>
      </c>
      <c r="P139" s="3" t="str">
        <f t="shared" si="24"/>
        <v>Bangalore</v>
      </c>
      <c r="Q139" s="3">
        <f t="shared" si="25"/>
        <v>3.3166247903553998</v>
      </c>
    </row>
    <row r="140" spans="1:17">
      <c r="A140" t="s">
        <v>173</v>
      </c>
      <c r="B140" s="1">
        <v>45640</v>
      </c>
      <c r="C140" t="s">
        <v>22</v>
      </c>
      <c r="D140" t="s">
        <v>29</v>
      </c>
      <c r="E140" t="s">
        <v>27</v>
      </c>
      <c r="F140">
        <v>6</v>
      </c>
      <c r="G140">
        <v>1884.24</v>
      </c>
      <c r="H140">
        <v>11305.44</v>
      </c>
      <c r="I140" t="str">
        <f t="shared" si="26"/>
        <v>Normal Order</v>
      </c>
      <c r="J140" t="str">
        <f t="shared" si="18"/>
        <v>CityStore - Kolkata</v>
      </c>
      <c r="K140">
        <f t="shared" si="19"/>
        <v>5</v>
      </c>
      <c r="L140" t="str">
        <f t="shared" si="20"/>
        <v>Boo</v>
      </c>
      <c r="M140" s="3" t="str">
        <f t="shared" si="21"/>
        <v>RD113</v>
      </c>
      <c r="N140" s="3" t="str">
        <f t="shared" si="22"/>
        <v>kolkata</v>
      </c>
      <c r="O140" s="3" t="str">
        <f t="shared" si="23"/>
        <v>KOLKATA</v>
      </c>
      <c r="P140" s="3" t="str">
        <f t="shared" si="24"/>
        <v>Kolkata</v>
      </c>
      <c r="Q140" s="3">
        <f t="shared" si="25"/>
        <v>2.4494897427831779</v>
      </c>
    </row>
    <row r="141" spans="1:17">
      <c r="A141" t="s">
        <v>174</v>
      </c>
      <c r="B141" s="1">
        <v>45508</v>
      </c>
      <c r="C141" t="s">
        <v>32</v>
      </c>
      <c r="D141" t="s">
        <v>26</v>
      </c>
      <c r="E141" t="s">
        <v>44</v>
      </c>
      <c r="F141">
        <v>16</v>
      </c>
      <c r="G141">
        <v>766.71</v>
      </c>
      <c r="H141">
        <v>12267.36</v>
      </c>
      <c r="I141" t="str">
        <f t="shared" si="26"/>
        <v>Bulk Order</v>
      </c>
      <c r="J141" t="str">
        <f t="shared" si="18"/>
        <v>MegaMart - Delhi</v>
      </c>
      <c r="K141">
        <f t="shared" si="19"/>
        <v>9</v>
      </c>
      <c r="L141" t="str">
        <f t="shared" si="20"/>
        <v>Gro</v>
      </c>
      <c r="M141" s="3" t="str">
        <f t="shared" si="21"/>
        <v>RD113</v>
      </c>
      <c r="N141" s="3" t="str">
        <f t="shared" si="22"/>
        <v>delhi</v>
      </c>
      <c r="O141" s="3" t="str">
        <f t="shared" si="23"/>
        <v>DELHI</v>
      </c>
      <c r="P141" s="3" t="str">
        <f t="shared" si="24"/>
        <v>Delhi</v>
      </c>
      <c r="Q141" s="3">
        <f t="shared" si="25"/>
        <v>4</v>
      </c>
    </row>
    <row r="142" spans="1:17">
      <c r="A142" t="s">
        <v>175</v>
      </c>
      <c r="B142" s="1">
        <v>45597</v>
      </c>
      <c r="C142" t="s">
        <v>39</v>
      </c>
      <c r="D142" t="s">
        <v>29</v>
      </c>
      <c r="E142" t="s">
        <v>20</v>
      </c>
      <c r="F142">
        <v>16</v>
      </c>
      <c r="G142">
        <v>480.66</v>
      </c>
      <c r="H142">
        <v>7690.56</v>
      </c>
      <c r="I142" t="str">
        <f t="shared" si="26"/>
        <v>Bulk Order</v>
      </c>
      <c r="J142" t="str">
        <f t="shared" si="18"/>
        <v>Trendz - Kolkata</v>
      </c>
      <c r="K142">
        <f t="shared" si="19"/>
        <v>11</v>
      </c>
      <c r="L142" t="str">
        <f t="shared" si="20"/>
        <v>Ele</v>
      </c>
      <c r="M142" s="3" t="str">
        <f t="shared" si="21"/>
        <v>RD114</v>
      </c>
      <c r="N142" s="3" t="str">
        <f t="shared" si="22"/>
        <v>kolkata</v>
      </c>
      <c r="O142" s="3" t="str">
        <f t="shared" si="23"/>
        <v>KOLKATA</v>
      </c>
      <c r="P142" s="3" t="str">
        <f t="shared" si="24"/>
        <v>Kolkata</v>
      </c>
      <c r="Q142" s="3">
        <f t="shared" si="25"/>
        <v>4</v>
      </c>
    </row>
    <row r="143" spans="1:17">
      <c r="A143" t="s">
        <v>176</v>
      </c>
      <c r="B143" s="1">
        <v>45324</v>
      </c>
      <c r="C143" t="s">
        <v>39</v>
      </c>
      <c r="D143" t="s">
        <v>29</v>
      </c>
      <c r="E143" t="s">
        <v>23</v>
      </c>
      <c r="F143">
        <v>12</v>
      </c>
      <c r="G143">
        <v>1916.85</v>
      </c>
      <c r="H143">
        <v>23002.2</v>
      </c>
      <c r="I143" t="str">
        <f t="shared" si="26"/>
        <v>Bulk Order</v>
      </c>
      <c r="J143" t="str">
        <f t="shared" si="18"/>
        <v>Trendz - Kolkata</v>
      </c>
      <c r="K143">
        <f t="shared" si="19"/>
        <v>8</v>
      </c>
      <c r="L143" t="str">
        <f t="shared" si="20"/>
        <v>Clo</v>
      </c>
      <c r="M143" s="3" t="str">
        <f t="shared" si="21"/>
        <v>RD114</v>
      </c>
      <c r="N143" s="3" t="str">
        <f t="shared" si="22"/>
        <v>kolkata</v>
      </c>
      <c r="O143" s="3" t="str">
        <f t="shared" si="23"/>
        <v>KOLKATA</v>
      </c>
      <c r="P143" s="3" t="str">
        <f t="shared" si="24"/>
        <v>Kolkata</v>
      </c>
      <c r="Q143" s="3">
        <f t="shared" si="25"/>
        <v>3.4641016151377544</v>
      </c>
    </row>
    <row r="144" spans="1:17">
      <c r="A144" t="s">
        <v>177</v>
      </c>
      <c r="B144" s="1">
        <v>45489</v>
      </c>
      <c r="C144" t="s">
        <v>18</v>
      </c>
      <c r="D144" t="s">
        <v>33</v>
      </c>
      <c r="E144" t="s">
        <v>44</v>
      </c>
      <c r="F144">
        <v>17</v>
      </c>
      <c r="G144">
        <v>982.45</v>
      </c>
      <c r="H144">
        <v>16701.650000000001</v>
      </c>
      <c r="I144" t="str">
        <f t="shared" si="26"/>
        <v>Bulk Order</v>
      </c>
      <c r="J144" t="str">
        <f t="shared" si="18"/>
        <v>ValueShop - Chennai</v>
      </c>
      <c r="K144">
        <f t="shared" si="19"/>
        <v>9</v>
      </c>
      <c r="L144" t="str">
        <f t="shared" si="20"/>
        <v>Gro</v>
      </c>
      <c r="M144" s="3" t="str">
        <f t="shared" si="21"/>
        <v>RD114</v>
      </c>
      <c r="N144" s="3" t="str">
        <f t="shared" si="22"/>
        <v>chennai</v>
      </c>
      <c r="O144" s="3" t="str">
        <f t="shared" si="23"/>
        <v>CHENNAI</v>
      </c>
      <c r="P144" s="3" t="str">
        <f t="shared" si="24"/>
        <v>Chennai</v>
      </c>
      <c r="Q144" s="3">
        <f t="shared" si="25"/>
        <v>4.1231056256176606</v>
      </c>
    </row>
    <row r="145" spans="1:17">
      <c r="A145" t="s">
        <v>178</v>
      </c>
      <c r="B145" s="1">
        <v>45487</v>
      </c>
      <c r="C145" t="s">
        <v>25</v>
      </c>
      <c r="D145" t="s">
        <v>26</v>
      </c>
      <c r="E145" t="s">
        <v>27</v>
      </c>
      <c r="F145">
        <v>9</v>
      </c>
      <c r="G145">
        <v>937.21</v>
      </c>
      <c r="H145">
        <v>8434.89</v>
      </c>
      <c r="I145" t="str">
        <f t="shared" si="26"/>
        <v>Normal Order</v>
      </c>
      <c r="J145" t="str">
        <f t="shared" si="18"/>
        <v>QuickBuy - Delhi</v>
      </c>
      <c r="K145">
        <f t="shared" si="19"/>
        <v>5</v>
      </c>
      <c r="L145" t="str">
        <f t="shared" si="20"/>
        <v>Boo</v>
      </c>
      <c r="M145" s="3" t="str">
        <f t="shared" si="21"/>
        <v>RD114</v>
      </c>
      <c r="N145" s="3" t="str">
        <f t="shared" si="22"/>
        <v>delhi</v>
      </c>
      <c r="O145" s="3" t="str">
        <f t="shared" si="23"/>
        <v>DELHI</v>
      </c>
      <c r="P145" s="3" t="str">
        <f t="shared" si="24"/>
        <v>Delhi</v>
      </c>
      <c r="Q145" s="3">
        <f t="shared" si="25"/>
        <v>3</v>
      </c>
    </row>
    <row r="146" spans="1:17">
      <c r="A146" t="s">
        <v>179</v>
      </c>
      <c r="B146" s="1">
        <v>45597</v>
      </c>
      <c r="C146" t="s">
        <v>39</v>
      </c>
      <c r="D146" t="s">
        <v>37</v>
      </c>
      <c r="E146" t="s">
        <v>44</v>
      </c>
      <c r="F146">
        <v>3</v>
      </c>
      <c r="G146">
        <v>1978.23</v>
      </c>
      <c r="H146">
        <v>5934.6900000000014</v>
      </c>
      <c r="I146" t="str">
        <f t="shared" si="26"/>
        <v>Normal Order</v>
      </c>
      <c r="J146" t="str">
        <f t="shared" si="18"/>
        <v>Trendz - Hyderabad</v>
      </c>
      <c r="K146">
        <f t="shared" si="19"/>
        <v>9</v>
      </c>
      <c r="L146" t="str">
        <f t="shared" si="20"/>
        <v>Gro</v>
      </c>
      <c r="M146" s="3" t="str">
        <f t="shared" si="21"/>
        <v>RD114</v>
      </c>
      <c r="N146" s="3" t="str">
        <f t="shared" si="22"/>
        <v>hyderabad</v>
      </c>
      <c r="O146" s="3" t="str">
        <f t="shared" si="23"/>
        <v>HYDERABAD</v>
      </c>
      <c r="P146" s="3" t="str">
        <f t="shared" si="24"/>
        <v>Hyderabad</v>
      </c>
      <c r="Q146" s="3">
        <f t="shared" si="25"/>
        <v>1.7320508075688772</v>
      </c>
    </row>
    <row r="147" spans="1:17">
      <c r="A147" t="s">
        <v>180</v>
      </c>
      <c r="B147" s="1">
        <v>45531</v>
      </c>
      <c r="C147" t="s">
        <v>39</v>
      </c>
      <c r="D147" t="s">
        <v>33</v>
      </c>
      <c r="E147" t="s">
        <v>44</v>
      </c>
      <c r="F147">
        <v>14</v>
      </c>
      <c r="G147">
        <v>778.57</v>
      </c>
      <c r="H147">
        <v>10899.98</v>
      </c>
      <c r="I147" t="str">
        <f t="shared" si="26"/>
        <v>Bulk Order</v>
      </c>
      <c r="J147" t="str">
        <f t="shared" si="18"/>
        <v>Trendz - Chennai</v>
      </c>
      <c r="K147">
        <f t="shared" si="19"/>
        <v>9</v>
      </c>
      <c r="L147" t="str">
        <f t="shared" si="20"/>
        <v>Gro</v>
      </c>
      <c r="M147" s="3" t="str">
        <f t="shared" si="21"/>
        <v>RD114</v>
      </c>
      <c r="N147" s="3" t="str">
        <f t="shared" si="22"/>
        <v>chennai</v>
      </c>
      <c r="O147" s="3" t="str">
        <f t="shared" si="23"/>
        <v>CHENNAI</v>
      </c>
      <c r="P147" s="3" t="str">
        <f t="shared" si="24"/>
        <v>Chennai</v>
      </c>
      <c r="Q147" s="3">
        <f t="shared" si="25"/>
        <v>3.7416573867739413</v>
      </c>
    </row>
    <row r="148" spans="1:17">
      <c r="A148" t="s">
        <v>181</v>
      </c>
      <c r="B148" s="1">
        <v>45562</v>
      </c>
      <c r="C148" t="s">
        <v>32</v>
      </c>
      <c r="D148" t="s">
        <v>26</v>
      </c>
      <c r="E148" t="s">
        <v>44</v>
      </c>
      <c r="F148">
        <v>3</v>
      </c>
      <c r="G148">
        <v>1418.78</v>
      </c>
      <c r="H148">
        <v>4256.34</v>
      </c>
      <c r="I148" t="str">
        <f t="shared" si="26"/>
        <v>Normal Order</v>
      </c>
      <c r="J148" t="str">
        <f t="shared" si="18"/>
        <v>MegaMart - Delhi</v>
      </c>
      <c r="K148">
        <f t="shared" si="19"/>
        <v>9</v>
      </c>
      <c r="L148" t="str">
        <f t="shared" si="20"/>
        <v>Gro</v>
      </c>
      <c r="M148" s="3" t="str">
        <f t="shared" si="21"/>
        <v>RD114</v>
      </c>
      <c r="N148" s="3" t="str">
        <f t="shared" si="22"/>
        <v>delhi</v>
      </c>
      <c r="O148" s="3" t="str">
        <f t="shared" si="23"/>
        <v>DELHI</v>
      </c>
      <c r="P148" s="3" t="str">
        <f t="shared" si="24"/>
        <v>Delhi</v>
      </c>
      <c r="Q148" s="3">
        <f t="shared" si="25"/>
        <v>1.7320508075688772</v>
      </c>
    </row>
    <row r="149" spans="1:17">
      <c r="A149" t="s">
        <v>182</v>
      </c>
      <c r="B149" s="1">
        <v>45420</v>
      </c>
      <c r="C149" t="s">
        <v>22</v>
      </c>
      <c r="D149" t="s">
        <v>42</v>
      </c>
      <c r="E149" t="s">
        <v>20</v>
      </c>
      <c r="F149">
        <v>14</v>
      </c>
      <c r="G149">
        <v>1829.95</v>
      </c>
      <c r="H149">
        <v>25619.3</v>
      </c>
      <c r="I149" t="str">
        <f t="shared" si="26"/>
        <v>Bulk Order</v>
      </c>
      <c r="J149" t="str">
        <f t="shared" si="18"/>
        <v>CityStore - Pune</v>
      </c>
      <c r="K149">
        <f t="shared" si="19"/>
        <v>11</v>
      </c>
      <c r="L149" t="str">
        <f t="shared" si="20"/>
        <v>Ele</v>
      </c>
      <c r="M149" s="3" t="str">
        <f t="shared" si="21"/>
        <v>RD114</v>
      </c>
      <c r="N149" s="3" t="str">
        <f t="shared" si="22"/>
        <v>pune</v>
      </c>
      <c r="O149" s="3" t="str">
        <f t="shared" si="23"/>
        <v>PUNE</v>
      </c>
      <c r="P149" s="3" t="str">
        <f t="shared" si="24"/>
        <v>Pune</v>
      </c>
      <c r="Q149" s="3">
        <f t="shared" si="25"/>
        <v>3.7416573867739413</v>
      </c>
    </row>
    <row r="150" spans="1:17">
      <c r="A150" t="s">
        <v>183</v>
      </c>
      <c r="B150" s="1">
        <v>45575</v>
      </c>
      <c r="C150" t="s">
        <v>39</v>
      </c>
      <c r="D150" t="s">
        <v>50</v>
      </c>
      <c r="E150" t="s">
        <v>23</v>
      </c>
      <c r="F150">
        <v>20</v>
      </c>
      <c r="G150">
        <v>1526.83</v>
      </c>
      <c r="H150">
        <v>30536.6</v>
      </c>
      <c r="I150" t="str">
        <f t="shared" si="26"/>
        <v>Bulk Order</v>
      </c>
      <c r="J150" t="str">
        <f t="shared" si="18"/>
        <v>Trendz - Mumbai</v>
      </c>
      <c r="K150">
        <f t="shared" si="19"/>
        <v>8</v>
      </c>
      <c r="L150" t="str">
        <f t="shared" si="20"/>
        <v>Clo</v>
      </c>
      <c r="M150" s="3" t="str">
        <f t="shared" si="21"/>
        <v>RD114</v>
      </c>
      <c r="N150" s="3" t="str">
        <f t="shared" si="22"/>
        <v>mumbai</v>
      </c>
      <c r="O150" s="3" t="str">
        <f t="shared" si="23"/>
        <v>MUMBAI</v>
      </c>
      <c r="P150" s="3" t="str">
        <f t="shared" si="24"/>
        <v>Mumbai</v>
      </c>
      <c r="Q150" s="3">
        <f t="shared" si="25"/>
        <v>4.4721359549995796</v>
      </c>
    </row>
    <row r="151" spans="1:17">
      <c r="A151" t="s">
        <v>184</v>
      </c>
      <c r="B151" s="1">
        <v>45297</v>
      </c>
      <c r="C151" t="s">
        <v>39</v>
      </c>
      <c r="D151" t="s">
        <v>33</v>
      </c>
      <c r="E151" t="s">
        <v>23</v>
      </c>
      <c r="F151">
        <v>6</v>
      </c>
      <c r="G151">
        <v>1613.89</v>
      </c>
      <c r="H151">
        <v>9683.34</v>
      </c>
      <c r="I151" t="str">
        <f t="shared" si="26"/>
        <v>Normal Order</v>
      </c>
      <c r="J151" t="str">
        <f t="shared" si="18"/>
        <v>Trendz - Chennai</v>
      </c>
      <c r="K151">
        <f t="shared" si="19"/>
        <v>8</v>
      </c>
      <c r="L151" t="str">
        <f t="shared" si="20"/>
        <v>Clo</v>
      </c>
      <c r="M151" s="3" t="str">
        <f t="shared" si="21"/>
        <v>RD114</v>
      </c>
      <c r="N151" s="3" t="str">
        <f t="shared" si="22"/>
        <v>chennai</v>
      </c>
      <c r="O151" s="3" t="str">
        <f t="shared" si="23"/>
        <v>CHENNAI</v>
      </c>
      <c r="P151" s="3" t="str">
        <f t="shared" si="24"/>
        <v>Chennai</v>
      </c>
      <c r="Q151" s="3">
        <f t="shared" si="25"/>
        <v>2.4494897427831779</v>
      </c>
    </row>
    <row r="152" spans="1:17">
      <c r="A152" t="s">
        <v>185</v>
      </c>
      <c r="B152" s="1">
        <v>45640</v>
      </c>
      <c r="C152" t="s">
        <v>25</v>
      </c>
      <c r="D152" t="s">
        <v>29</v>
      </c>
      <c r="E152" t="s">
        <v>34</v>
      </c>
      <c r="F152">
        <v>18</v>
      </c>
      <c r="G152">
        <v>1659.93</v>
      </c>
      <c r="H152">
        <v>29878.74</v>
      </c>
      <c r="I152" t="str">
        <f t="shared" si="26"/>
        <v>Bulk Order</v>
      </c>
      <c r="J152" t="str">
        <f t="shared" si="18"/>
        <v>QuickBuy - Kolkata</v>
      </c>
      <c r="K152">
        <f t="shared" si="19"/>
        <v>4</v>
      </c>
      <c r="L152" t="str">
        <f t="shared" si="20"/>
        <v>Toy</v>
      </c>
      <c r="M152" s="3" t="str">
        <f t="shared" si="21"/>
        <v>RD115</v>
      </c>
      <c r="N152" s="3" t="str">
        <f t="shared" si="22"/>
        <v>kolkata</v>
      </c>
      <c r="O152" s="3" t="str">
        <f t="shared" si="23"/>
        <v>KOLKATA</v>
      </c>
      <c r="P152" s="3" t="str">
        <f t="shared" si="24"/>
        <v>Kolkata</v>
      </c>
      <c r="Q152" s="3">
        <f t="shared" si="25"/>
        <v>4.2426406871192848</v>
      </c>
    </row>
    <row r="153" spans="1:17">
      <c r="A153" t="s">
        <v>186</v>
      </c>
      <c r="B153" s="1">
        <v>45350</v>
      </c>
      <c r="C153" t="s">
        <v>32</v>
      </c>
      <c r="D153" t="s">
        <v>42</v>
      </c>
      <c r="E153" t="s">
        <v>27</v>
      </c>
      <c r="F153">
        <v>10</v>
      </c>
      <c r="G153">
        <v>1535.63</v>
      </c>
      <c r="H153">
        <v>15356.3</v>
      </c>
      <c r="I153" t="str">
        <f t="shared" si="26"/>
        <v>Normal Order</v>
      </c>
      <c r="J153" t="str">
        <f t="shared" si="18"/>
        <v>MegaMart - Pune</v>
      </c>
      <c r="K153">
        <f t="shared" si="19"/>
        <v>5</v>
      </c>
      <c r="L153" t="str">
        <f t="shared" si="20"/>
        <v>Boo</v>
      </c>
      <c r="M153" s="3" t="str">
        <f t="shared" si="21"/>
        <v>RD115</v>
      </c>
      <c r="N153" s="3" t="str">
        <f t="shared" si="22"/>
        <v>pune</v>
      </c>
      <c r="O153" s="3" t="str">
        <f t="shared" si="23"/>
        <v>PUNE</v>
      </c>
      <c r="P153" s="3" t="str">
        <f t="shared" si="24"/>
        <v>Pune</v>
      </c>
      <c r="Q153" s="3">
        <f t="shared" si="25"/>
        <v>3.1622776601683795</v>
      </c>
    </row>
    <row r="154" spans="1:17">
      <c r="A154" t="s">
        <v>187</v>
      </c>
      <c r="B154" s="1">
        <v>45641</v>
      </c>
      <c r="C154" t="s">
        <v>25</v>
      </c>
      <c r="D154" t="s">
        <v>50</v>
      </c>
      <c r="E154" t="s">
        <v>30</v>
      </c>
      <c r="F154">
        <v>11</v>
      </c>
      <c r="G154">
        <v>1376.67</v>
      </c>
      <c r="H154">
        <v>15143.37</v>
      </c>
      <c r="I154" t="str">
        <f t="shared" si="26"/>
        <v>Bulk Order</v>
      </c>
      <c r="J154" t="str">
        <f t="shared" si="18"/>
        <v>QuickBuy - Mumbai</v>
      </c>
      <c r="K154">
        <f t="shared" si="19"/>
        <v>14</v>
      </c>
      <c r="L154" t="str">
        <f t="shared" si="20"/>
        <v>Hom</v>
      </c>
      <c r="M154" s="3" t="str">
        <f t="shared" si="21"/>
        <v>RD115</v>
      </c>
      <c r="N154" s="3" t="str">
        <f t="shared" si="22"/>
        <v>mumbai</v>
      </c>
      <c r="O154" s="3" t="str">
        <f t="shared" si="23"/>
        <v>MUMBAI</v>
      </c>
      <c r="P154" s="3" t="str">
        <f t="shared" si="24"/>
        <v>Mumbai</v>
      </c>
      <c r="Q154" s="3">
        <f t="shared" si="25"/>
        <v>3.3166247903553998</v>
      </c>
    </row>
    <row r="155" spans="1:17">
      <c r="A155" t="s">
        <v>188</v>
      </c>
      <c r="B155" s="1">
        <v>45566</v>
      </c>
      <c r="C155" t="s">
        <v>39</v>
      </c>
      <c r="D155" t="s">
        <v>26</v>
      </c>
      <c r="E155" t="s">
        <v>20</v>
      </c>
      <c r="F155">
        <v>4</v>
      </c>
      <c r="G155">
        <v>1211.8399999999999</v>
      </c>
      <c r="H155">
        <v>4847.3599999999997</v>
      </c>
      <c r="I155" t="str">
        <f t="shared" si="26"/>
        <v>Normal Order</v>
      </c>
      <c r="J155" t="str">
        <f t="shared" si="18"/>
        <v>Trendz - Delhi</v>
      </c>
      <c r="K155">
        <f t="shared" si="19"/>
        <v>11</v>
      </c>
      <c r="L155" t="str">
        <f t="shared" si="20"/>
        <v>Ele</v>
      </c>
      <c r="M155" s="3" t="str">
        <f t="shared" si="21"/>
        <v>RD115</v>
      </c>
      <c r="N155" s="3" t="str">
        <f t="shared" si="22"/>
        <v>delhi</v>
      </c>
      <c r="O155" s="3" t="str">
        <f t="shared" si="23"/>
        <v>DELHI</v>
      </c>
      <c r="P155" s="3" t="str">
        <f t="shared" si="24"/>
        <v>Delhi</v>
      </c>
      <c r="Q155" s="3">
        <f t="shared" si="25"/>
        <v>2</v>
      </c>
    </row>
    <row r="156" spans="1:17">
      <c r="A156" t="s">
        <v>189</v>
      </c>
      <c r="B156" s="1">
        <v>45428</v>
      </c>
      <c r="C156" t="s">
        <v>39</v>
      </c>
      <c r="D156" t="s">
        <v>33</v>
      </c>
      <c r="E156" t="s">
        <v>23</v>
      </c>
      <c r="F156">
        <v>3</v>
      </c>
      <c r="G156">
        <v>1585.37</v>
      </c>
      <c r="H156">
        <v>4756.1099999999997</v>
      </c>
      <c r="I156" t="str">
        <f t="shared" si="26"/>
        <v>Normal Order</v>
      </c>
      <c r="J156" t="str">
        <f t="shared" si="18"/>
        <v>Trendz - Chennai</v>
      </c>
      <c r="K156">
        <f t="shared" si="19"/>
        <v>8</v>
      </c>
      <c r="L156" t="str">
        <f t="shared" si="20"/>
        <v>Clo</v>
      </c>
      <c r="M156" s="3" t="str">
        <f t="shared" si="21"/>
        <v>RD115</v>
      </c>
      <c r="N156" s="3" t="str">
        <f t="shared" si="22"/>
        <v>chennai</v>
      </c>
      <c r="O156" s="3" t="str">
        <f t="shared" si="23"/>
        <v>CHENNAI</v>
      </c>
      <c r="P156" s="3" t="str">
        <f t="shared" si="24"/>
        <v>Chennai</v>
      </c>
      <c r="Q156" s="3">
        <f t="shared" si="25"/>
        <v>1.7320508075688772</v>
      </c>
    </row>
    <row r="157" spans="1:17">
      <c r="A157" t="s">
        <v>190</v>
      </c>
      <c r="B157" s="1">
        <v>45620</v>
      </c>
      <c r="C157" t="s">
        <v>32</v>
      </c>
      <c r="D157" t="s">
        <v>29</v>
      </c>
      <c r="E157" t="s">
        <v>27</v>
      </c>
      <c r="F157">
        <v>11</v>
      </c>
      <c r="G157">
        <v>1074.74</v>
      </c>
      <c r="H157">
        <v>11822.14</v>
      </c>
      <c r="I157" t="str">
        <f t="shared" si="26"/>
        <v>Bulk Order</v>
      </c>
      <c r="J157" t="str">
        <f t="shared" si="18"/>
        <v>MegaMart - Kolkata</v>
      </c>
      <c r="K157">
        <f t="shared" si="19"/>
        <v>5</v>
      </c>
      <c r="L157" t="str">
        <f t="shared" si="20"/>
        <v>Boo</v>
      </c>
      <c r="M157" s="3" t="str">
        <f t="shared" si="21"/>
        <v>RD115</v>
      </c>
      <c r="N157" s="3" t="str">
        <f t="shared" si="22"/>
        <v>kolkata</v>
      </c>
      <c r="O157" s="3" t="str">
        <f t="shared" si="23"/>
        <v>KOLKATA</v>
      </c>
      <c r="P157" s="3" t="str">
        <f t="shared" si="24"/>
        <v>Kolkata</v>
      </c>
      <c r="Q157" s="3">
        <f t="shared" si="25"/>
        <v>3.3166247903553998</v>
      </c>
    </row>
    <row r="158" spans="1:17">
      <c r="A158" t="s">
        <v>191</v>
      </c>
      <c r="B158" s="1">
        <v>45466</v>
      </c>
      <c r="C158" t="s">
        <v>18</v>
      </c>
      <c r="D158" t="s">
        <v>19</v>
      </c>
      <c r="E158" t="s">
        <v>27</v>
      </c>
      <c r="F158">
        <v>10</v>
      </c>
      <c r="G158">
        <v>1079.94</v>
      </c>
      <c r="H158">
        <v>10799.4</v>
      </c>
      <c r="I158" t="str">
        <f t="shared" si="26"/>
        <v>Normal Order</v>
      </c>
      <c r="J158" t="str">
        <f t="shared" si="18"/>
        <v>ValueShop - Bangalore</v>
      </c>
      <c r="K158">
        <f t="shared" si="19"/>
        <v>5</v>
      </c>
      <c r="L158" t="str">
        <f t="shared" si="20"/>
        <v>Boo</v>
      </c>
      <c r="M158" s="3" t="str">
        <f t="shared" si="21"/>
        <v>RD115</v>
      </c>
      <c r="N158" s="3" t="str">
        <f t="shared" si="22"/>
        <v>bangalore</v>
      </c>
      <c r="O158" s="3" t="str">
        <f t="shared" si="23"/>
        <v>BANGALORE</v>
      </c>
      <c r="P158" s="3" t="str">
        <f t="shared" si="24"/>
        <v>Bangalore</v>
      </c>
      <c r="Q158" s="3">
        <f t="shared" si="25"/>
        <v>3.1622776601683795</v>
      </c>
    </row>
    <row r="159" spans="1:17">
      <c r="A159" t="s">
        <v>192</v>
      </c>
      <c r="B159" s="1">
        <v>45349</v>
      </c>
      <c r="C159" t="s">
        <v>18</v>
      </c>
      <c r="D159" t="s">
        <v>19</v>
      </c>
      <c r="E159" t="s">
        <v>20</v>
      </c>
      <c r="F159">
        <v>10</v>
      </c>
      <c r="G159">
        <v>755.48</v>
      </c>
      <c r="H159">
        <v>7554.8</v>
      </c>
      <c r="I159" t="str">
        <f t="shared" si="26"/>
        <v>Normal Order</v>
      </c>
      <c r="J159" t="str">
        <f t="shared" si="18"/>
        <v>ValueShop - Bangalore</v>
      </c>
      <c r="K159">
        <f t="shared" si="19"/>
        <v>11</v>
      </c>
      <c r="L159" t="str">
        <f t="shared" si="20"/>
        <v>Ele</v>
      </c>
      <c r="M159" s="3" t="str">
        <f t="shared" si="21"/>
        <v>RD115</v>
      </c>
      <c r="N159" s="3" t="str">
        <f t="shared" si="22"/>
        <v>bangalore</v>
      </c>
      <c r="O159" s="3" t="str">
        <f t="shared" si="23"/>
        <v>BANGALORE</v>
      </c>
      <c r="P159" s="3" t="str">
        <f t="shared" si="24"/>
        <v>Bangalore</v>
      </c>
      <c r="Q159" s="3">
        <f t="shared" si="25"/>
        <v>3.1622776601683795</v>
      </c>
    </row>
    <row r="160" spans="1:17">
      <c r="A160" t="s">
        <v>193</v>
      </c>
      <c r="B160" s="1">
        <v>45442</v>
      </c>
      <c r="C160" t="s">
        <v>39</v>
      </c>
      <c r="D160" t="s">
        <v>37</v>
      </c>
      <c r="E160" t="s">
        <v>20</v>
      </c>
      <c r="F160">
        <v>15</v>
      </c>
      <c r="G160">
        <v>1838.63</v>
      </c>
      <c r="H160">
        <v>27579.45</v>
      </c>
      <c r="I160" t="str">
        <f t="shared" si="26"/>
        <v>Bulk Order</v>
      </c>
      <c r="J160" t="str">
        <f t="shared" si="18"/>
        <v>Trendz - Hyderabad</v>
      </c>
      <c r="K160">
        <f t="shared" si="19"/>
        <v>11</v>
      </c>
      <c r="L160" t="str">
        <f t="shared" si="20"/>
        <v>Ele</v>
      </c>
      <c r="M160" s="3" t="str">
        <f t="shared" si="21"/>
        <v>RD115</v>
      </c>
      <c r="N160" s="3" t="str">
        <f t="shared" si="22"/>
        <v>hyderabad</v>
      </c>
      <c r="O160" s="3" t="str">
        <f t="shared" si="23"/>
        <v>HYDERABAD</v>
      </c>
      <c r="P160" s="3" t="str">
        <f t="shared" si="24"/>
        <v>Hyderabad</v>
      </c>
      <c r="Q160" s="3">
        <f t="shared" si="25"/>
        <v>3.872983346207417</v>
      </c>
    </row>
    <row r="161" spans="1:17">
      <c r="A161" t="s">
        <v>194</v>
      </c>
      <c r="B161" s="1">
        <v>45514</v>
      </c>
      <c r="C161" t="s">
        <v>39</v>
      </c>
      <c r="D161" t="s">
        <v>42</v>
      </c>
      <c r="E161" t="s">
        <v>27</v>
      </c>
      <c r="F161">
        <v>20</v>
      </c>
      <c r="G161">
        <v>268.81</v>
      </c>
      <c r="H161">
        <v>5376.2</v>
      </c>
      <c r="I161" t="str">
        <f t="shared" si="26"/>
        <v>Bulk Order</v>
      </c>
      <c r="J161" t="str">
        <f t="shared" si="18"/>
        <v>Trendz - Pune</v>
      </c>
      <c r="K161">
        <f t="shared" si="19"/>
        <v>5</v>
      </c>
      <c r="L161" t="str">
        <f t="shared" si="20"/>
        <v>Boo</v>
      </c>
      <c r="M161" s="3" t="str">
        <f t="shared" si="21"/>
        <v>RD115</v>
      </c>
      <c r="N161" s="3" t="str">
        <f t="shared" si="22"/>
        <v>pune</v>
      </c>
      <c r="O161" s="3" t="str">
        <f t="shared" si="23"/>
        <v>PUNE</v>
      </c>
      <c r="P161" s="3" t="str">
        <f t="shared" si="24"/>
        <v>Pune</v>
      </c>
      <c r="Q161" s="3">
        <f t="shared" si="25"/>
        <v>4.4721359549995796</v>
      </c>
    </row>
    <row r="162" spans="1:17">
      <c r="A162" t="s">
        <v>195</v>
      </c>
      <c r="B162" s="1">
        <v>45372</v>
      </c>
      <c r="C162" t="s">
        <v>25</v>
      </c>
      <c r="D162" t="s">
        <v>33</v>
      </c>
      <c r="E162" t="s">
        <v>34</v>
      </c>
      <c r="F162">
        <v>14</v>
      </c>
      <c r="G162">
        <v>1666.11</v>
      </c>
      <c r="H162">
        <v>23325.54</v>
      </c>
      <c r="I162" t="str">
        <f t="shared" si="26"/>
        <v>Bulk Order</v>
      </c>
      <c r="J162" t="str">
        <f t="shared" si="18"/>
        <v>QuickBuy - Chennai</v>
      </c>
      <c r="K162">
        <f t="shared" si="19"/>
        <v>4</v>
      </c>
      <c r="L162" t="str">
        <f t="shared" si="20"/>
        <v>Toy</v>
      </c>
      <c r="M162" s="3" t="str">
        <f t="shared" si="21"/>
        <v>RD116</v>
      </c>
      <c r="N162" s="3" t="str">
        <f t="shared" si="22"/>
        <v>chennai</v>
      </c>
      <c r="O162" s="3" t="str">
        <f t="shared" si="23"/>
        <v>CHENNAI</v>
      </c>
      <c r="P162" s="3" t="str">
        <f t="shared" si="24"/>
        <v>Chennai</v>
      </c>
      <c r="Q162" s="3">
        <f t="shared" si="25"/>
        <v>3.7416573867739413</v>
      </c>
    </row>
    <row r="163" spans="1:17">
      <c r="A163" t="s">
        <v>196</v>
      </c>
      <c r="B163" s="1">
        <v>45524</v>
      </c>
      <c r="C163" t="s">
        <v>25</v>
      </c>
      <c r="D163" t="s">
        <v>42</v>
      </c>
      <c r="E163" t="s">
        <v>23</v>
      </c>
      <c r="F163">
        <v>6</v>
      </c>
      <c r="G163">
        <v>1810.63</v>
      </c>
      <c r="H163">
        <v>10863.78</v>
      </c>
      <c r="I163" t="str">
        <f t="shared" si="26"/>
        <v>Normal Order</v>
      </c>
      <c r="J163" t="str">
        <f t="shared" si="18"/>
        <v>QuickBuy - Pune</v>
      </c>
      <c r="K163">
        <f t="shared" si="19"/>
        <v>8</v>
      </c>
      <c r="L163" t="str">
        <f t="shared" si="20"/>
        <v>Clo</v>
      </c>
      <c r="M163" s="3" t="str">
        <f t="shared" si="21"/>
        <v>RD116</v>
      </c>
      <c r="N163" s="3" t="str">
        <f t="shared" si="22"/>
        <v>pune</v>
      </c>
      <c r="O163" s="3" t="str">
        <f t="shared" si="23"/>
        <v>PUNE</v>
      </c>
      <c r="P163" s="3" t="str">
        <f t="shared" si="24"/>
        <v>Pune</v>
      </c>
      <c r="Q163" s="3">
        <f t="shared" si="25"/>
        <v>2.4494897427831779</v>
      </c>
    </row>
    <row r="164" spans="1:17">
      <c r="A164" t="s">
        <v>197</v>
      </c>
      <c r="B164" s="1">
        <v>45293</v>
      </c>
      <c r="C164" t="s">
        <v>25</v>
      </c>
      <c r="D164" t="s">
        <v>26</v>
      </c>
      <c r="E164" t="s">
        <v>30</v>
      </c>
      <c r="F164">
        <v>15</v>
      </c>
      <c r="G164">
        <v>444.21</v>
      </c>
      <c r="H164">
        <v>6663.15</v>
      </c>
      <c r="I164" t="str">
        <f t="shared" si="26"/>
        <v>Bulk Order</v>
      </c>
      <c r="J164" t="str">
        <f t="shared" si="18"/>
        <v>QuickBuy - Delhi</v>
      </c>
      <c r="K164">
        <f t="shared" si="19"/>
        <v>14</v>
      </c>
      <c r="L164" t="str">
        <f t="shared" si="20"/>
        <v>Hom</v>
      </c>
      <c r="M164" s="3" t="str">
        <f t="shared" si="21"/>
        <v>RD116</v>
      </c>
      <c r="N164" s="3" t="str">
        <f t="shared" si="22"/>
        <v>delhi</v>
      </c>
      <c r="O164" s="3" t="str">
        <f t="shared" si="23"/>
        <v>DELHI</v>
      </c>
      <c r="P164" s="3" t="str">
        <f t="shared" si="24"/>
        <v>Delhi</v>
      </c>
      <c r="Q164" s="3">
        <f t="shared" si="25"/>
        <v>3.872983346207417</v>
      </c>
    </row>
    <row r="165" spans="1:17">
      <c r="A165" t="s">
        <v>198</v>
      </c>
      <c r="B165" s="1">
        <v>45426</v>
      </c>
      <c r="C165" t="s">
        <v>22</v>
      </c>
      <c r="D165" t="s">
        <v>29</v>
      </c>
      <c r="E165" t="s">
        <v>30</v>
      </c>
      <c r="F165">
        <v>12</v>
      </c>
      <c r="G165">
        <v>1096.49</v>
      </c>
      <c r="H165">
        <v>13157.88</v>
      </c>
      <c r="I165" t="str">
        <f t="shared" si="26"/>
        <v>Bulk Order</v>
      </c>
      <c r="J165" t="str">
        <f t="shared" si="18"/>
        <v>CityStore - Kolkata</v>
      </c>
      <c r="K165">
        <f t="shared" si="19"/>
        <v>14</v>
      </c>
      <c r="L165" t="str">
        <f t="shared" si="20"/>
        <v>Hom</v>
      </c>
      <c r="M165" s="3" t="str">
        <f t="shared" si="21"/>
        <v>RD116</v>
      </c>
      <c r="N165" s="3" t="str">
        <f t="shared" si="22"/>
        <v>kolkata</v>
      </c>
      <c r="O165" s="3" t="str">
        <f t="shared" si="23"/>
        <v>KOLKATA</v>
      </c>
      <c r="P165" s="3" t="str">
        <f t="shared" si="24"/>
        <v>Kolkata</v>
      </c>
      <c r="Q165" s="3">
        <f t="shared" si="25"/>
        <v>3.4641016151377544</v>
      </c>
    </row>
    <row r="166" spans="1:17">
      <c r="A166" t="s">
        <v>199</v>
      </c>
      <c r="B166" s="1">
        <v>45548</v>
      </c>
      <c r="C166" t="s">
        <v>39</v>
      </c>
      <c r="D166" t="s">
        <v>19</v>
      </c>
      <c r="E166" t="s">
        <v>30</v>
      </c>
      <c r="F166">
        <v>15</v>
      </c>
      <c r="G166">
        <v>370.85</v>
      </c>
      <c r="H166">
        <v>5562.75</v>
      </c>
      <c r="I166" t="str">
        <f t="shared" si="26"/>
        <v>Bulk Order</v>
      </c>
      <c r="J166" t="str">
        <f t="shared" si="18"/>
        <v>Trendz - Bangalore</v>
      </c>
      <c r="K166">
        <f t="shared" si="19"/>
        <v>14</v>
      </c>
      <c r="L166" t="str">
        <f t="shared" si="20"/>
        <v>Hom</v>
      </c>
      <c r="M166" s="3" t="str">
        <f t="shared" si="21"/>
        <v>RD116</v>
      </c>
      <c r="N166" s="3" t="str">
        <f t="shared" si="22"/>
        <v>bangalore</v>
      </c>
      <c r="O166" s="3" t="str">
        <f t="shared" si="23"/>
        <v>BANGALORE</v>
      </c>
      <c r="P166" s="3" t="str">
        <f t="shared" si="24"/>
        <v>Bangalore</v>
      </c>
      <c r="Q166" s="3">
        <f t="shared" si="25"/>
        <v>3.872983346207417</v>
      </c>
    </row>
    <row r="167" spans="1:17">
      <c r="A167" t="s">
        <v>200</v>
      </c>
      <c r="B167" s="1">
        <v>45383</v>
      </c>
      <c r="C167" t="s">
        <v>22</v>
      </c>
      <c r="D167" t="s">
        <v>29</v>
      </c>
      <c r="E167" t="s">
        <v>44</v>
      </c>
      <c r="F167">
        <v>2</v>
      </c>
      <c r="G167">
        <v>1716.25</v>
      </c>
      <c r="H167">
        <v>3432.5</v>
      </c>
      <c r="I167" t="str">
        <f t="shared" si="26"/>
        <v>Normal Order</v>
      </c>
      <c r="J167" t="str">
        <f t="shared" si="18"/>
        <v>CityStore - Kolkata</v>
      </c>
      <c r="K167">
        <f t="shared" si="19"/>
        <v>9</v>
      </c>
      <c r="L167" t="str">
        <f t="shared" si="20"/>
        <v>Gro</v>
      </c>
      <c r="M167" s="3" t="str">
        <f t="shared" si="21"/>
        <v>RD116</v>
      </c>
      <c r="N167" s="3" t="str">
        <f t="shared" si="22"/>
        <v>kolkata</v>
      </c>
      <c r="O167" s="3" t="str">
        <f t="shared" si="23"/>
        <v>KOLKATA</v>
      </c>
      <c r="P167" s="3" t="str">
        <f t="shared" si="24"/>
        <v>Kolkata</v>
      </c>
      <c r="Q167" s="3">
        <f t="shared" si="25"/>
        <v>1.4142135623730951</v>
      </c>
    </row>
    <row r="168" spans="1:17">
      <c r="A168" t="s">
        <v>201</v>
      </c>
      <c r="B168" s="1">
        <v>45551</v>
      </c>
      <c r="C168" t="s">
        <v>18</v>
      </c>
      <c r="D168" t="s">
        <v>42</v>
      </c>
      <c r="E168" t="s">
        <v>23</v>
      </c>
      <c r="F168">
        <v>12</v>
      </c>
      <c r="G168">
        <v>911.59</v>
      </c>
      <c r="H168">
        <v>10939.08</v>
      </c>
      <c r="I168" t="str">
        <f t="shared" si="26"/>
        <v>Bulk Order</v>
      </c>
      <c r="J168" t="str">
        <f t="shared" si="18"/>
        <v>ValueShop - Pune</v>
      </c>
      <c r="K168">
        <f t="shared" si="19"/>
        <v>8</v>
      </c>
      <c r="L168" t="str">
        <f t="shared" si="20"/>
        <v>Clo</v>
      </c>
      <c r="M168" s="3" t="str">
        <f t="shared" si="21"/>
        <v>RD116</v>
      </c>
      <c r="N168" s="3" t="str">
        <f t="shared" si="22"/>
        <v>pune</v>
      </c>
      <c r="O168" s="3" t="str">
        <f t="shared" si="23"/>
        <v>PUNE</v>
      </c>
      <c r="P168" s="3" t="str">
        <f t="shared" si="24"/>
        <v>Pune</v>
      </c>
      <c r="Q168" s="3">
        <f t="shared" si="25"/>
        <v>3.4641016151377544</v>
      </c>
    </row>
    <row r="169" spans="1:17">
      <c r="A169" t="s">
        <v>202</v>
      </c>
      <c r="B169" s="1">
        <v>45346</v>
      </c>
      <c r="C169" t="s">
        <v>39</v>
      </c>
      <c r="D169" t="s">
        <v>29</v>
      </c>
      <c r="E169" t="s">
        <v>44</v>
      </c>
      <c r="F169">
        <v>20</v>
      </c>
      <c r="G169">
        <v>1376.58</v>
      </c>
      <c r="H169">
        <v>27531.599999999999</v>
      </c>
      <c r="I169" t="str">
        <f t="shared" si="26"/>
        <v>Bulk Order</v>
      </c>
      <c r="J169" t="str">
        <f t="shared" si="18"/>
        <v>Trendz - Kolkata</v>
      </c>
      <c r="K169">
        <f t="shared" si="19"/>
        <v>9</v>
      </c>
      <c r="L169" t="str">
        <f t="shared" si="20"/>
        <v>Gro</v>
      </c>
      <c r="M169" s="3" t="str">
        <f t="shared" si="21"/>
        <v>RD116</v>
      </c>
      <c r="N169" s="3" t="str">
        <f t="shared" si="22"/>
        <v>kolkata</v>
      </c>
      <c r="O169" s="3" t="str">
        <f t="shared" si="23"/>
        <v>KOLKATA</v>
      </c>
      <c r="P169" s="3" t="str">
        <f t="shared" si="24"/>
        <v>Kolkata</v>
      </c>
      <c r="Q169" s="3">
        <f t="shared" si="25"/>
        <v>4.4721359549995796</v>
      </c>
    </row>
    <row r="170" spans="1:17">
      <c r="A170" t="s">
        <v>203</v>
      </c>
      <c r="B170" s="1">
        <v>45612</v>
      </c>
      <c r="C170" t="s">
        <v>39</v>
      </c>
      <c r="D170" t="s">
        <v>37</v>
      </c>
      <c r="E170" t="s">
        <v>44</v>
      </c>
      <c r="F170">
        <v>14</v>
      </c>
      <c r="G170">
        <v>1447.99</v>
      </c>
      <c r="H170">
        <v>20271.86</v>
      </c>
      <c r="I170" t="str">
        <f t="shared" si="26"/>
        <v>Bulk Order</v>
      </c>
      <c r="J170" t="str">
        <f t="shared" si="18"/>
        <v>Trendz - Hyderabad</v>
      </c>
      <c r="K170">
        <f t="shared" si="19"/>
        <v>9</v>
      </c>
      <c r="L170" t="str">
        <f t="shared" si="20"/>
        <v>Gro</v>
      </c>
      <c r="M170" s="3" t="str">
        <f t="shared" si="21"/>
        <v>RD116</v>
      </c>
      <c r="N170" s="3" t="str">
        <f t="shared" si="22"/>
        <v>hyderabad</v>
      </c>
      <c r="O170" s="3" t="str">
        <f t="shared" si="23"/>
        <v>HYDERABAD</v>
      </c>
      <c r="P170" s="3" t="str">
        <f t="shared" si="24"/>
        <v>Hyderabad</v>
      </c>
      <c r="Q170" s="3">
        <f t="shared" si="25"/>
        <v>3.7416573867739413</v>
      </c>
    </row>
    <row r="171" spans="1:17">
      <c r="A171" t="s">
        <v>204</v>
      </c>
      <c r="B171" s="1">
        <v>45444</v>
      </c>
      <c r="C171" t="s">
        <v>32</v>
      </c>
      <c r="D171" t="s">
        <v>33</v>
      </c>
      <c r="E171" t="s">
        <v>27</v>
      </c>
      <c r="F171">
        <v>9</v>
      </c>
      <c r="G171">
        <v>1003.21</v>
      </c>
      <c r="H171">
        <v>9028.89</v>
      </c>
      <c r="I171" t="str">
        <f t="shared" si="26"/>
        <v>Normal Order</v>
      </c>
      <c r="J171" t="str">
        <f t="shared" si="18"/>
        <v>MegaMart - Chennai</v>
      </c>
      <c r="K171">
        <f t="shared" si="19"/>
        <v>5</v>
      </c>
      <c r="L171" t="str">
        <f t="shared" si="20"/>
        <v>Boo</v>
      </c>
      <c r="M171" s="3" t="str">
        <f t="shared" si="21"/>
        <v>RD116</v>
      </c>
      <c r="N171" s="3" t="str">
        <f t="shared" si="22"/>
        <v>chennai</v>
      </c>
      <c r="O171" s="3" t="str">
        <f t="shared" si="23"/>
        <v>CHENNAI</v>
      </c>
      <c r="P171" s="3" t="str">
        <f t="shared" si="24"/>
        <v>Chennai</v>
      </c>
      <c r="Q171" s="3">
        <f t="shared" si="25"/>
        <v>3</v>
      </c>
    </row>
    <row r="172" spans="1:17">
      <c r="A172" t="s">
        <v>205</v>
      </c>
      <c r="B172" s="1">
        <v>45619</v>
      </c>
      <c r="C172" t="s">
        <v>39</v>
      </c>
      <c r="D172" t="s">
        <v>19</v>
      </c>
      <c r="E172" t="s">
        <v>44</v>
      </c>
      <c r="F172">
        <v>2</v>
      </c>
      <c r="G172">
        <v>1802.83</v>
      </c>
      <c r="H172">
        <v>3605.66</v>
      </c>
      <c r="I172" t="str">
        <f t="shared" si="26"/>
        <v>Normal Order</v>
      </c>
      <c r="J172" t="str">
        <f t="shared" si="18"/>
        <v>Trendz - Bangalore</v>
      </c>
      <c r="K172">
        <f t="shared" si="19"/>
        <v>9</v>
      </c>
      <c r="L172" t="str">
        <f t="shared" si="20"/>
        <v>Gro</v>
      </c>
      <c r="M172" s="3" t="str">
        <f t="shared" si="21"/>
        <v>RD117</v>
      </c>
      <c r="N172" s="3" t="str">
        <f t="shared" si="22"/>
        <v>bangalore</v>
      </c>
      <c r="O172" s="3" t="str">
        <f t="shared" si="23"/>
        <v>BANGALORE</v>
      </c>
      <c r="P172" s="3" t="str">
        <f t="shared" si="24"/>
        <v>Bangalore</v>
      </c>
      <c r="Q172" s="3">
        <f t="shared" si="25"/>
        <v>1.4142135623730951</v>
      </c>
    </row>
    <row r="173" spans="1:17">
      <c r="A173" t="s">
        <v>206</v>
      </c>
      <c r="B173" s="1">
        <v>45551</v>
      </c>
      <c r="C173" t="s">
        <v>18</v>
      </c>
      <c r="D173" t="s">
        <v>42</v>
      </c>
      <c r="E173" t="s">
        <v>34</v>
      </c>
      <c r="F173">
        <v>3</v>
      </c>
      <c r="G173">
        <v>918.69</v>
      </c>
      <c r="H173">
        <v>2756.07</v>
      </c>
      <c r="I173" t="str">
        <f t="shared" si="26"/>
        <v>Normal Order</v>
      </c>
      <c r="J173" t="str">
        <f t="shared" si="18"/>
        <v>ValueShop - Pune</v>
      </c>
      <c r="K173">
        <f t="shared" si="19"/>
        <v>4</v>
      </c>
      <c r="L173" t="str">
        <f t="shared" si="20"/>
        <v>Toy</v>
      </c>
      <c r="M173" s="3" t="str">
        <f t="shared" si="21"/>
        <v>RD117</v>
      </c>
      <c r="N173" s="3" t="str">
        <f t="shared" si="22"/>
        <v>pune</v>
      </c>
      <c r="O173" s="3" t="str">
        <f t="shared" si="23"/>
        <v>PUNE</v>
      </c>
      <c r="P173" s="3" t="str">
        <f t="shared" si="24"/>
        <v>Pune</v>
      </c>
      <c r="Q173" s="3">
        <f t="shared" si="25"/>
        <v>1.7320508075688772</v>
      </c>
    </row>
    <row r="174" spans="1:17">
      <c r="A174" t="s">
        <v>207</v>
      </c>
      <c r="B174" s="1">
        <v>45603</v>
      </c>
      <c r="C174" t="s">
        <v>39</v>
      </c>
      <c r="D174" t="s">
        <v>42</v>
      </c>
      <c r="E174" t="s">
        <v>34</v>
      </c>
      <c r="F174">
        <v>13</v>
      </c>
      <c r="G174">
        <v>158.49</v>
      </c>
      <c r="H174">
        <v>2060.37</v>
      </c>
      <c r="I174" t="str">
        <f t="shared" si="26"/>
        <v>Bulk Order</v>
      </c>
      <c r="J174" t="str">
        <f t="shared" si="18"/>
        <v>Trendz - Pune</v>
      </c>
      <c r="K174">
        <f t="shared" si="19"/>
        <v>4</v>
      </c>
      <c r="L174" t="str">
        <f t="shared" si="20"/>
        <v>Toy</v>
      </c>
      <c r="M174" s="3" t="str">
        <f t="shared" si="21"/>
        <v>RD117</v>
      </c>
      <c r="N174" s="3" t="str">
        <f t="shared" si="22"/>
        <v>pune</v>
      </c>
      <c r="O174" s="3" t="str">
        <f t="shared" si="23"/>
        <v>PUNE</v>
      </c>
      <c r="P174" s="3" t="str">
        <f t="shared" si="24"/>
        <v>Pune</v>
      </c>
      <c r="Q174" s="3">
        <f t="shared" si="25"/>
        <v>3.6055512754639891</v>
      </c>
    </row>
    <row r="175" spans="1:17">
      <c r="A175" t="s">
        <v>208</v>
      </c>
      <c r="B175" s="1">
        <v>45393</v>
      </c>
      <c r="C175" t="s">
        <v>22</v>
      </c>
      <c r="D175" t="s">
        <v>29</v>
      </c>
      <c r="E175" t="s">
        <v>20</v>
      </c>
      <c r="F175">
        <v>12</v>
      </c>
      <c r="G175">
        <v>307.29000000000002</v>
      </c>
      <c r="H175">
        <v>3687.48</v>
      </c>
      <c r="I175" t="str">
        <f t="shared" si="26"/>
        <v>Bulk Order</v>
      </c>
      <c r="J175" t="str">
        <f t="shared" si="18"/>
        <v>CityStore - Kolkata</v>
      </c>
      <c r="K175">
        <f t="shared" si="19"/>
        <v>11</v>
      </c>
      <c r="L175" t="str">
        <f t="shared" si="20"/>
        <v>Ele</v>
      </c>
      <c r="M175" s="3" t="str">
        <f t="shared" si="21"/>
        <v>RD117</v>
      </c>
      <c r="N175" s="3" t="str">
        <f t="shared" si="22"/>
        <v>kolkata</v>
      </c>
      <c r="O175" s="3" t="str">
        <f t="shared" si="23"/>
        <v>KOLKATA</v>
      </c>
      <c r="P175" s="3" t="str">
        <f t="shared" si="24"/>
        <v>Kolkata</v>
      </c>
      <c r="Q175" s="3">
        <f t="shared" si="25"/>
        <v>3.4641016151377544</v>
      </c>
    </row>
    <row r="176" spans="1:17">
      <c r="A176" t="s">
        <v>209</v>
      </c>
      <c r="B176" s="1">
        <v>45370</v>
      </c>
      <c r="C176" t="s">
        <v>39</v>
      </c>
      <c r="D176" t="s">
        <v>33</v>
      </c>
      <c r="E176" t="s">
        <v>20</v>
      </c>
      <c r="F176">
        <v>17</v>
      </c>
      <c r="G176">
        <v>860.08</v>
      </c>
      <c r="H176">
        <v>14621.36</v>
      </c>
      <c r="I176" t="str">
        <f t="shared" si="26"/>
        <v>Bulk Order</v>
      </c>
      <c r="J176" t="str">
        <f t="shared" si="18"/>
        <v>Trendz - Chennai</v>
      </c>
      <c r="K176">
        <f t="shared" si="19"/>
        <v>11</v>
      </c>
      <c r="L176" t="str">
        <f t="shared" si="20"/>
        <v>Ele</v>
      </c>
      <c r="M176" s="3" t="str">
        <f t="shared" si="21"/>
        <v>RD117</v>
      </c>
      <c r="N176" s="3" t="str">
        <f t="shared" si="22"/>
        <v>chennai</v>
      </c>
      <c r="O176" s="3" t="str">
        <f t="shared" si="23"/>
        <v>CHENNAI</v>
      </c>
      <c r="P176" s="3" t="str">
        <f t="shared" si="24"/>
        <v>Chennai</v>
      </c>
      <c r="Q176" s="3">
        <f t="shared" si="25"/>
        <v>4.1231056256176606</v>
      </c>
    </row>
    <row r="177" spans="1:17">
      <c r="A177" t="s">
        <v>210</v>
      </c>
      <c r="B177" s="1">
        <v>45483</v>
      </c>
      <c r="C177" t="s">
        <v>22</v>
      </c>
      <c r="D177" t="s">
        <v>29</v>
      </c>
      <c r="E177" t="s">
        <v>23</v>
      </c>
      <c r="F177">
        <v>6</v>
      </c>
      <c r="G177">
        <v>1149.6300000000001</v>
      </c>
      <c r="H177">
        <v>6897.7800000000007</v>
      </c>
      <c r="I177" t="str">
        <f t="shared" si="26"/>
        <v>Normal Order</v>
      </c>
      <c r="J177" t="str">
        <f t="shared" si="18"/>
        <v>CityStore - Kolkata</v>
      </c>
      <c r="K177">
        <f t="shared" si="19"/>
        <v>8</v>
      </c>
      <c r="L177" t="str">
        <f t="shared" si="20"/>
        <v>Clo</v>
      </c>
      <c r="M177" s="3" t="str">
        <f t="shared" si="21"/>
        <v>RD117</v>
      </c>
      <c r="N177" s="3" t="str">
        <f t="shared" si="22"/>
        <v>kolkata</v>
      </c>
      <c r="O177" s="3" t="str">
        <f t="shared" si="23"/>
        <v>KOLKATA</v>
      </c>
      <c r="P177" s="3" t="str">
        <f t="shared" si="24"/>
        <v>Kolkata</v>
      </c>
      <c r="Q177" s="3">
        <f t="shared" si="25"/>
        <v>2.4494897427831779</v>
      </c>
    </row>
    <row r="178" spans="1:17">
      <c r="A178" t="s">
        <v>211</v>
      </c>
      <c r="B178" s="1">
        <v>45374</v>
      </c>
      <c r="C178" t="s">
        <v>25</v>
      </c>
      <c r="D178" t="s">
        <v>37</v>
      </c>
      <c r="E178" t="s">
        <v>23</v>
      </c>
      <c r="F178">
        <v>1</v>
      </c>
      <c r="G178">
        <v>1139.6500000000001</v>
      </c>
      <c r="H178">
        <v>1139.6500000000001</v>
      </c>
      <c r="I178" t="str">
        <f t="shared" si="26"/>
        <v>Normal Order</v>
      </c>
      <c r="J178" t="str">
        <f t="shared" si="18"/>
        <v>QuickBuy - Hyderabad</v>
      </c>
      <c r="K178">
        <f t="shared" si="19"/>
        <v>8</v>
      </c>
      <c r="L178" t="str">
        <f t="shared" si="20"/>
        <v>Clo</v>
      </c>
      <c r="M178" s="3" t="str">
        <f t="shared" si="21"/>
        <v>RD117</v>
      </c>
      <c r="N178" s="3" t="str">
        <f t="shared" si="22"/>
        <v>hyderabad</v>
      </c>
      <c r="O178" s="3" t="str">
        <f t="shared" si="23"/>
        <v>HYDERABAD</v>
      </c>
      <c r="P178" s="3" t="str">
        <f t="shared" si="24"/>
        <v>Hyderabad</v>
      </c>
      <c r="Q178" s="3">
        <f t="shared" si="25"/>
        <v>1</v>
      </c>
    </row>
    <row r="179" spans="1:17">
      <c r="A179" t="s">
        <v>212</v>
      </c>
      <c r="B179" s="1">
        <v>45568</v>
      </c>
      <c r="C179" t="s">
        <v>25</v>
      </c>
      <c r="D179" t="s">
        <v>26</v>
      </c>
      <c r="E179" t="s">
        <v>34</v>
      </c>
      <c r="F179">
        <v>5</v>
      </c>
      <c r="G179">
        <v>1361.9</v>
      </c>
      <c r="H179">
        <v>6809.5</v>
      </c>
      <c r="I179" t="str">
        <f t="shared" si="26"/>
        <v>Normal Order</v>
      </c>
      <c r="J179" t="str">
        <f t="shared" si="18"/>
        <v>QuickBuy - Delhi</v>
      </c>
      <c r="K179">
        <f t="shared" si="19"/>
        <v>4</v>
      </c>
      <c r="L179" t="str">
        <f t="shared" si="20"/>
        <v>Toy</v>
      </c>
      <c r="M179" s="3" t="str">
        <f t="shared" si="21"/>
        <v>RD117</v>
      </c>
      <c r="N179" s="3" t="str">
        <f t="shared" si="22"/>
        <v>delhi</v>
      </c>
      <c r="O179" s="3" t="str">
        <f t="shared" si="23"/>
        <v>DELHI</v>
      </c>
      <c r="P179" s="3" t="str">
        <f t="shared" si="24"/>
        <v>Delhi</v>
      </c>
      <c r="Q179" s="3">
        <f t="shared" si="25"/>
        <v>2.2360679774997898</v>
      </c>
    </row>
    <row r="180" spans="1:17">
      <c r="A180" t="s">
        <v>213</v>
      </c>
      <c r="B180" s="1">
        <v>45563</v>
      </c>
      <c r="C180" t="s">
        <v>32</v>
      </c>
      <c r="D180" t="s">
        <v>37</v>
      </c>
      <c r="E180" t="s">
        <v>20</v>
      </c>
      <c r="F180">
        <v>20</v>
      </c>
      <c r="G180">
        <v>650.92999999999995</v>
      </c>
      <c r="H180">
        <v>13018.6</v>
      </c>
      <c r="I180" t="str">
        <f t="shared" si="26"/>
        <v>Bulk Order</v>
      </c>
      <c r="J180" t="str">
        <f t="shared" si="18"/>
        <v>MegaMart - Hyderabad</v>
      </c>
      <c r="K180">
        <f t="shared" si="19"/>
        <v>11</v>
      </c>
      <c r="L180" t="str">
        <f t="shared" si="20"/>
        <v>Ele</v>
      </c>
      <c r="M180" s="3" t="str">
        <f t="shared" si="21"/>
        <v>RD117</v>
      </c>
      <c r="N180" s="3" t="str">
        <f t="shared" si="22"/>
        <v>hyderabad</v>
      </c>
      <c r="O180" s="3" t="str">
        <f t="shared" si="23"/>
        <v>HYDERABAD</v>
      </c>
      <c r="P180" s="3" t="str">
        <f t="shared" si="24"/>
        <v>Hyderabad</v>
      </c>
      <c r="Q180" s="3">
        <f t="shared" si="25"/>
        <v>4.4721359549995796</v>
      </c>
    </row>
    <row r="181" spans="1:17">
      <c r="A181" t="s">
        <v>214</v>
      </c>
      <c r="B181" s="1">
        <v>45292</v>
      </c>
      <c r="C181" t="s">
        <v>39</v>
      </c>
      <c r="D181" t="s">
        <v>26</v>
      </c>
      <c r="E181" t="s">
        <v>27</v>
      </c>
      <c r="F181">
        <v>15</v>
      </c>
      <c r="G181">
        <v>92.45</v>
      </c>
      <c r="H181">
        <v>1386.75</v>
      </c>
      <c r="I181" t="str">
        <f t="shared" si="26"/>
        <v>Bulk Order</v>
      </c>
      <c r="J181" t="str">
        <f t="shared" si="18"/>
        <v>Trendz - Delhi</v>
      </c>
      <c r="K181">
        <f t="shared" si="19"/>
        <v>5</v>
      </c>
      <c r="L181" t="str">
        <f t="shared" si="20"/>
        <v>Boo</v>
      </c>
      <c r="M181" s="3" t="str">
        <f t="shared" si="21"/>
        <v>RD117</v>
      </c>
      <c r="N181" s="3" t="str">
        <f t="shared" si="22"/>
        <v>delhi</v>
      </c>
      <c r="O181" s="3" t="str">
        <f t="shared" si="23"/>
        <v>DELHI</v>
      </c>
      <c r="P181" s="3" t="str">
        <f t="shared" si="24"/>
        <v>Delhi</v>
      </c>
      <c r="Q181" s="3">
        <f t="shared" si="25"/>
        <v>3.872983346207417</v>
      </c>
    </row>
    <row r="182" spans="1:17">
      <c r="A182" t="s">
        <v>215</v>
      </c>
      <c r="B182" s="1">
        <v>45598</v>
      </c>
      <c r="C182" t="s">
        <v>25</v>
      </c>
      <c r="D182" t="s">
        <v>50</v>
      </c>
      <c r="E182" t="s">
        <v>20</v>
      </c>
      <c r="F182">
        <v>2</v>
      </c>
      <c r="G182">
        <v>546.19000000000005</v>
      </c>
      <c r="H182">
        <v>1092.3800000000001</v>
      </c>
      <c r="I182" t="str">
        <f t="shared" si="26"/>
        <v>Normal Order</v>
      </c>
      <c r="J182" t="str">
        <f t="shared" si="18"/>
        <v>QuickBuy - Mumbai</v>
      </c>
      <c r="K182">
        <f t="shared" si="19"/>
        <v>11</v>
      </c>
      <c r="L182" t="str">
        <f t="shared" si="20"/>
        <v>Ele</v>
      </c>
      <c r="M182" s="3" t="str">
        <f t="shared" si="21"/>
        <v>RD118</v>
      </c>
      <c r="N182" s="3" t="str">
        <f t="shared" si="22"/>
        <v>mumbai</v>
      </c>
      <c r="O182" s="3" t="str">
        <f t="shared" si="23"/>
        <v>MUMBAI</v>
      </c>
      <c r="P182" s="3" t="str">
        <f t="shared" si="24"/>
        <v>Mumbai</v>
      </c>
      <c r="Q182" s="3">
        <f t="shared" si="25"/>
        <v>1.4142135623730951</v>
      </c>
    </row>
    <row r="183" spans="1:17">
      <c r="A183" t="s">
        <v>216</v>
      </c>
      <c r="B183" s="1">
        <v>45457</v>
      </c>
      <c r="C183" t="s">
        <v>25</v>
      </c>
      <c r="D183" t="s">
        <v>42</v>
      </c>
      <c r="E183" t="s">
        <v>44</v>
      </c>
      <c r="F183">
        <v>5</v>
      </c>
      <c r="G183">
        <v>55.88</v>
      </c>
      <c r="H183">
        <v>279.39999999999998</v>
      </c>
      <c r="I183" t="str">
        <f t="shared" si="26"/>
        <v>Normal Order</v>
      </c>
      <c r="J183" t="str">
        <f t="shared" si="18"/>
        <v>QuickBuy - Pune</v>
      </c>
      <c r="K183">
        <f t="shared" si="19"/>
        <v>9</v>
      </c>
      <c r="L183" t="str">
        <f t="shared" si="20"/>
        <v>Gro</v>
      </c>
      <c r="M183" s="3" t="str">
        <f t="shared" si="21"/>
        <v>RD118</v>
      </c>
      <c r="N183" s="3" t="str">
        <f t="shared" si="22"/>
        <v>pune</v>
      </c>
      <c r="O183" s="3" t="str">
        <f t="shared" si="23"/>
        <v>PUNE</v>
      </c>
      <c r="P183" s="3" t="str">
        <f t="shared" si="24"/>
        <v>Pune</v>
      </c>
      <c r="Q183" s="3">
        <f t="shared" si="25"/>
        <v>2.2360679774997898</v>
      </c>
    </row>
    <row r="184" spans="1:17">
      <c r="A184" t="s">
        <v>217</v>
      </c>
      <c r="B184" s="1">
        <v>45542</v>
      </c>
      <c r="C184" t="s">
        <v>32</v>
      </c>
      <c r="D184" t="s">
        <v>42</v>
      </c>
      <c r="E184" t="s">
        <v>30</v>
      </c>
      <c r="F184">
        <v>3</v>
      </c>
      <c r="G184">
        <v>474.91</v>
      </c>
      <c r="H184">
        <v>1424.73</v>
      </c>
      <c r="I184" t="str">
        <f t="shared" si="26"/>
        <v>Normal Order</v>
      </c>
      <c r="J184" t="str">
        <f t="shared" si="18"/>
        <v>MegaMart - Pune</v>
      </c>
      <c r="K184">
        <f t="shared" si="19"/>
        <v>14</v>
      </c>
      <c r="L184" t="str">
        <f t="shared" si="20"/>
        <v>Hom</v>
      </c>
      <c r="M184" s="3" t="str">
        <f t="shared" si="21"/>
        <v>RD118</v>
      </c>
      <c r="N184" s="3" t="str">
        <f t="shared" si="22"/>
        <v>pune</v>
      </c>
      <c r="O184" s="3" t="str">
        <f t="shared" si="23"/>
        <v>PUNE</v>
      </c>
      <c r="P184" s="3" t="str">
        <f t="shared" si="24"/>
        <v>Pune</v>
      </c>
      <c r="Q184" s="3">
        <f t="shared" si="25"/>
        <v>1.7320508075688772</v>
      </c>
    </row>
    <row r="185" spans="1:17">
      <c r="A185" t="s">
        <v>218</v>
      </c>
      <c r="B185" s="1">
        <v>45301</v>
      </c>
      <c r="C185" t="s">
        <v>32</v>
      </c>
      <c r="D185" t="s">
        <v>19</v>
      </c>
      <c r="E185" t="s">
        <v>27</v>
      </c>
      <c r="F185">
        <v>8</v>
      </c>
      <c r="G185">
        <v>192.41</v>
      </c>
      <c r="H185">
        <v>1539.28</v>
      </c>
      <c r="I185" t="str">
        <f t="shared" si="26"/>
        <v>Normal Order</v>
      </c>
      <c r="J185" t="str">
        <f t="shared" si="18"/>
        <v>MegaMart - Bangalore</v>
      </c>
      <c r="K185">
        <f t="shared" si="19"/>
        <v>5</v>
      </c>
      <c r="L185" t="str">
        <f t="shared" si="20"/>
        <v>Boo</v>
      </c>
      <c r="M185" s="3" t="str">
        <f t="shared" si="21"/>
        <v>RD118</v>
      </c>
      <c r="N185" s="3" t="str">
        <f t="shared" si="22"/>
        <v>bangalore</v>
      </c>
      <c r="O185" s="3" t="str">
        <f t="shared" si="23"/>
        <v>BANGALORE</v>
      </c>
      <c r="P185" s="3" t="str">
        <f t="shared" si="24"/>
        <v>Bangalore</v>
      </c>
      <c r="Q185" s="3">
        <f t="shared" si="25"/>
        <v>2.8284271247461903</v>
      </c>
    </row>
    <row r="186" spans="1:17">
      <c r="A186" t="s">
        <v>219</v>
      </c>
      <c r="B186" s="1">
        <v>45349</v>
      </c>
      <c r="C186" t="s">
        <v>39</v>
      </c>
      <c r="D186" t="s">
        <v>50</v>
      </c>
      <c r="E186" t="s">
        <v>30</v>
      </c>
      <c r="F186">
        <v>12</v>
      </c>
      <c r="G186">
        <v>876.21</v>
      </c>
      <c r="H186">
        <v>10514.52</v>
      </c>
      <c r="I186" t="str">
        <f t="shared" si="26"/>
        <v>Bulk Order</v>
      </c>
      <c r="J186" t="str">
        <f t="shared" si="18"/>
        <v>Trendz - Mumbai</v>
      </c>
      <c r="K186">
        <f t="shared" si="19"/>
        <v>14</v>
      </c>
      <c r="L186" t="str">
        <f t="shared" si="20"/>
        <v>Hom</v>
      </c>
      <c r="M186" s="3" t="str">
        <f t="shared" si="21"/>
        <v>RD118</v>
      </c>
      <c r="N186" s="3" t="str">
        <f t="shared" si="22"/>
        <v>mumbai</v>
      </c>
      <c r="O186" s="3" t="str">
        <f t="shared" si="23"/>
        <v>MUMBAI</v>
      </c>
      <c r="P186" s="3" t="str">
        <f t="shared" si="24"/>
        <v>Mumbai</v>
      </c>
      <c r="Q186" s="3">
        <f t="shared" si="25"/>
        <v>3.4641016151377544</v>
      </c>
    </row>
    <row r="187" spans="1:17">
      <c r="A187" t="s">
        <v>220</v>
      </c>
      <c r="B187" s="1">
        <v>45477</v>
      </c>
      <c r="C187" t="s">
        <v>22</v>
      </c>
      <c r="D187" t="s">
        <v>42</v>
      </c>
      <c r="E187" t="s">
        <v>30</v>
      </c>
      <c r="F187">
        <v>12</v>
      </c>
      <c r="G187">
        <v>1415.75</v>
      </c>
      <c r="H187">
        <v>16989</v>
      </c>
      <c r="I187" t="str">
        <f t="shared" si="26"/>
        <v>Bulk Order</v>
      </c>
      <c r="J187" t="str">
        <f t="shared" si="18"/>
        <v>CityStore - Pune</v>
      </c>
      <c r="K187">
        <f t="shared" si="19"/>
        <v>14</v>
      </c>
      <c r="L187" t="str">
        <f t="shared" si="20"/>
        <v>Hom</v>
      </c>
      <c r="M187" s="3" t="str">
        <f t="shared" si="21"/>
        <v>RD118</v>
      </c>
      <c r="N187" s="3" t="str">
        <f t="shared" si="22"/>
        <v>pune</v>
      </c>
      <c r="O187" s="3" t="str">
        <f t="shared" si="23"/>
        <v>PUNE</v>
      </c>
      <c r="P187" s="3" t="str">
        <f t="shared" si="24"/>
        <v>Pune</v>
      </c>
      <c r="Q187" s="3">
        <f t="shared" si="25"/>
        <v>3.4641016151377544</v>
      </c>
    </row>
    <row r="188" spans="1:17">
      <c r="A188" t="s">
        <v>221</v>
      </c>
      <c r="B188" s="1">
        <v>45449</v>
      </c>
      <c r="C188" t="s">
        <v>39</v>
      </c>
      <c r="D188" t="s">
        <v>26</v>
      </c>
      <c r="E188" t="s">
        <v>34</v>
      </c>
      <c r="F188">
        <v>13</v>
      </c>
      <c r="G188">
        <v>1105.27</v>
      </c>
      <c r="H188">
        <v>14368.51</v>
      </c>
      <c r="I188" t="str">
        <f t="shared" si="26"/>
        <v>Bulk Order</v>
      </c>
      <c r="J188" t="str">
        <f t="shared" si="18"/>
        <v>Trendz - Delhi</v>
      </c>
      <c r="K188">
        <f t="shared" si="19"/>
        <v>4</v>
      </c>
      <c r="L188" t="str">
        <f t="shared" si="20"/>
        <v>Toy</v>
      </c>
      <c r="M188" s="3" t="str">
        <f t="shared" si="21"/>
        <v>RD118</v>
      </c>
      <c r="N188" s="3" t="str">
        <f t="shared" si="22"/>
        <v>delhi</v>
      </c>
      <c r="O188" s="3" t="str">
        <f t="shared" si="23"/>
        <v>DELHI</v>
      </c>
      <c r="P188" s="3" t="str">
        <f t="shared" si="24"/>
        <v>Delhi</v>
      </c>
      <c r="Q188" s="3">
        <f t="shared" si="25"/>
        <v>3.6055512754639891</v>
      </c>
    </row>
    <row r="189" spans="1:17">
      <c r="A189" t="s">
        <v>222</v>
      </c>
      <c r="B189" s="1">
        <v>45414</v>
      </c>
      <c r="C189" t="s">
        <v>22</v>
      </c>
      <c r="D189" t="s">
        <v>33</v>
      </c>
      <c r="E189" t="s">
        <v>30</v>
      </c>
      <c r="F189">
        <v>19</v>
      </c>
      <c r="G189">
        <v>167.5</v>
      </c>
      <c r="H189">
        <v>3182.5</v>
      </c>
      <c r="I189" t="str">
        <f t="shared" si="26"/>
        <v>Bulk Order</v>
      </c>
      <c r="J189" t="str">
        <f t="shared" si="18"/>
        <v>CityStore - Chennai</v>
      </c>
      <c r="K189">
        <f t="shared" si="19"/>
        <v>14</v>
      </c>
      <c r="L189" t="str">
        <f t="shared" si="20"/>
        <v>Hom</v>
      </c>
      <c r="M189" s="3" t="str">
        <f t="shared" si="21"/>
        <v>RD118</v>
      </c>
      <c r="N189" s="3" t="str">
        <f t="shared" si="22"/>
        <v>chennai</v>
      </c>
      <c r="O189" s="3" t="str">
        <f t="shared" si="23"/>
        <v>CHENNAI</v>
      </c>
      <c r="P189" s="3" t="str">
        <f t="shared" si="24"/>
        <v>Chennai</v>
      </c>
      <c r="Q189" s="3">
        <f t="shared" si="25"/>
        <v>4.358898943540674</v>
      </c>
    </row>
    <row r="190" spans="1:17">
      <c r="A190" t="s">
        <v>223</v>
      </c>
      <c r="B190" s="1">
        <v>45321</v>
      </c>
      <c r="C190" t="s">
        <v>32</v>
      </c>
      <c r="D190" t="s">
        <v>26</v>
      </c>
      <c r="E190" t="s">
        <v>30</v>
      </c>
      <c r="F190">
        <v>2</v>
      </c>
      <c r="G190">
        <v>1793.73</v>
      </c>
      <c r="H190">
        <v>3587.46</v>
      </c>
      <c r="I190" t="str">
        <f t="shared" si="26"/>
        <v>Normal Order</v>
      </c>
      <c r="J190" t="str">
        <f t="shared" si="18"/>
        <v>MegaMart - Delhi</v>
      </c>
      <c r="K190">
        <f t="shared" si="19"/>
        <v>14</v>
      </c>
      <c r="L190" t="str">
        <f t="shared" si="20"/>
        <v>Hom</v>
      </c>
      <c r="M190" s="3" t="str">
        <f t="shared" si="21"/>
        <v>RD118</v>
      </c>
      <c r="N190" s="3" t="str">
        <f t="shared" si="22"/>
        <v>delhi</v>
      </c>
      <c r="O190" s="3" t="str">
        <f t="shared" si="23"/>
        <v>DELHI</v>
      </c>
      <c r="P190" s="3" t="str">
        <f t="shared" si="24"/>
        <v>Delhi</v>
      </c>
      <c r="Q190" s="3">
        <f t="shared" si="25"/>
        <v>1.4142135623730951</v>
      </c>
    </row>
    <row r="191" spans="1:17">
      <c r="A191" t="s">
        <v>224</v>
      </c>
      <c r="B191" s="1">
        <v>45415</v>
      </c>
      <c r="C191" t="s">
        <v>18</v>
      </c>
      <c r="D191" t="s">
        <v>29</v>
      </c>
      <c r="E191" t="s">
        <v>44</v>
      </c>
      <c r="F191">
        <v>20</v>
      </c>
      <c r="G191">
        <v>1972.97</v>
      </c>
      <c r="H191">
        <v>39459.4</v>
      </c>
      <c r="I191" t="str">
        <f t="shared" si="26"/>
        <v>Bulk Order</v>
      </c>
      <c r="J191" t="str">
        <f t="shared" si="18"/>
        <v>ValueShop - Kolkata</v>
      </c>
      <c r="K191">
        <f t="shared" si="19"/>
        <v>9</v>
      </c>
      <c r="L191" t="str">
        <f t="shared" si="20"/>
        <v>Gro</v>
      </c>
      <c r="M191" s="3" t="str">
        <f t="shared" si="21"/>
        <v>RD118</v>
      </c>
      <c r="N191" s="3" t="str">
        <f t="shared" si="22"/>
        <v>kolkata</v>
      </c>
      <c r="O191" s="3" t="str">
        <f t="shared" si="23"/>
        <v>KOLKATA</v>
      </c>
      <c r="P191" s="3" t="str">
        <f t="shared" si="24"/>
        <v>Kolkata</v>
      </c>
      <c r="Q191" s="3">
        <f t="shared" si="25"/>
        <v>4.4721359549995796</v>
      </c>
    </row>
    <row r="192" spans="1:17">
      <c r="A192" t="s">
        <v>225</v>
      </c>
      <c r="B192" s="1">
        <v>45582</v>
      </c>
      <c r="C192" t="s">
        <v>39</v>
      </c>
      <c r="D192" t="s">
        <v>42</v>
      </c>
      <c r="E192" t="s">
        <v>23</v>
      </c>
      <c r="F192">
        <v>5</v>
      </c>
      <c r="G192">
        <v>970.54</v>
      </c>
      <c r="H192">
        <v>4852.7</v>
      </c>
      <c r="I192" t="str">
        <f t="shared" si="26"/>
        <v>Normal Order</v>
      </c>
      <c r="J192" t="str">
        <f t="shared" si="18"/>
        <v>Trendz - Pune</v>
      </c>
      <c r="K192">
        <f t="shared" si="19"/>
        <v>8</v>
      </c>
      <c r="L192" t="str">
        <f t="shared" si="20"/>
        <v>Clo</v>
      </c>
      <c r="M192" s="3" t="str">
        <f t="shared" si="21"/>
        <v>RD119</v>
      </c>
      <c r="N192" s="3" t="str">
        <f t="shared" si="22"/>
        <v>pune</v>
      </c>
      <c r="O192" s="3" t="str">
        <f t="shared" si="23"/>
        <v>PUNE</v>
      </c>
      <c r="P192" s="3" t="str">
        <f t="shared" si="24"/>
        <v>Pune</v>
      </c>
      <c r="Q192" s="3">
        <f t="shared" si="25"/>
        <v>2.2360679774997898</v>
      </c>
    </row>
    <row r="193" spans="1:17">
      <c r="A193" t="s">
        <v>226</v>
      </c>
      <c r="B193" s="1">
        <v>45332</v>
      </c>
      <c r="C193" t="s">
        <v>18</v>
      </c>
      <c r="D193" t="s">
        <v>42</v>
      </c>
      <c r="E193" t="s">
        <v>34</v>
      </c>
      <c r="F193">
        <v>15</v>
      </c>
      <c r="G193">
        <v>609.83000000000004</v>
      </c>
      <c r="H193">
        <v>9147.4500000000007</v>
      </c>
      <c r="I193" t="str">
        <f t="shared" si="26"/>
        <v>Bulk Order</v>
      </c>
      <c r="J193" t="str">
        <f t="shared" si="18"/>
        <v>ValueShop - Pune</v>
      </c>
      <c r="K193">
        <f t="shared" si="19"/>
        <v>4</v>
      </c>
      <c r="L193" t="str">
        <f t="shared" si="20"/>
        <v>Toy</v>
      </c>
      <c r="M193" s="3" t="str">
        <f t="shared" si="21"/>
        <v>RD119</v>
      </c>
      <c r="N193" s="3" t="str">
        <f t="shared" si="22"/>
        <v>pune</v>
      </c>
      <c r="O193" s="3" t="str">
        <f t="shared" si="23"/>
        <v>PUNE</v>
      </c>
      <c r="P193" s="3" t="str">
        <f t="shared" si="24"/>
        <v>Pune</v>
      </c>
      <c r="Q193" s="3">
        <f t="shared" si="25"/>
        <v>3.872983346207417</v>
      </c>
    </row>
    <row r="194" spans="1:17">
      <c r="A194" t="s">
        <v>227</v>
      </c>
      <c r="B194" s="1">
        <v>45335</v>
      </c>
      <c r="C194" t="s">
        <v>22</v>
      </c>
      <c r="D194" t="s">
        <v>29</v>
      </c>
      <c r="E194" t="s">
        <v>20</v>
      </c>
      <c r="F194">
        <v>12</v>
      </c>
      <c r="G194">
        <v>400.96</v>
      </c>
      <c r="H194">
        <v>4811.5200000000004</v>
      </c>
      <c r="I194" t="str">
        <f t="shared" si="26"/>
        <v>Bulk Order</v>
      </c>
      <c r="J194" t="str">
        <f t="shared" ref="J194:J257" si="27">_xlfn.CONCAT(C194, " - ", D194)</f>
        <v>CityStore - Kolkata</v>
      </c>
      <c r="K194">
        <f t="shared" ref="K194:K257" si="28">LEN(E194)</f>
        <v>11</v>
      </c>
      <c r="L194" t="str">
        <f t="shared" ref="L194:L257" si="29">LEFT(E194, 3)</f>
        <v>Ele</v>
      </c>
      <c r="M194" s="3" t="str">
        <f t="shared" ref="M194:M257" si="30">MID(A194, 2, 5)</f>
        <v>RD119</v>
      </c>
      <c r="N194" s="3" t="str">
        <f t="shared" ref="N194:N257" si="31">LOWER(D194)</f>
        <v>kolkata</v>
      </c>
      <c r="O194" s="3" t="str">
        <f t="shared" ref="O194:O257" si="32">UPPER(D194)</f>
        <v>KOLKATA</v>
      </c>
      <c r="P194" s="3" t="str">
        <f t="shared" ref="P194:P257" si="33">PROPER(D194)</f>
        <v>Kolkata</v>
      </c>
      <c r="Q194" s="3">
        <f t="shared" ref="Q194:Q257" si="34">SQRT(F194)</f>
        <v>3.4641016151377544</v>
      </c>
    </row>
    <row r="195" spans="1:17">
      <c r="A195" t="s">
        <v>228</v>
      </c>
      <c r="B195" s="1">
        <v>45540</v>
      </c>
      <c r="C195" t="s">
        <v>39</v>
      </c>
      <c r="D195" t="s">
        <v>26</v>
      </c>
      <c r="E195" t="s">
        <v>44</v>
      </c>
      <c r="F195">
        <v>12</v>
      </c>
      <c r="G195">
        <v>314.08999999999997</v>
      </c>
      <c r="H195">
        <v>3769.08</v>
      </c>
      <c r="I195" t="str">
        <f t="shared" ref="I195:I258" si="35">IF(F195&gt;10,"Bulk Order","Normal Order")</f>
        <v>Bulk Order</v>
      </c>
      <c r="J195" t="str">
        <f t="shared" si="27"/>
        <v>Trendz - Delhi</v>
      </c>
      <c r="K195">
        <f t="shared" si="28"/>
        <v>9</v>
      </c>
      <c r="L195" t="str">
        <f t="shared" si="29"/>
        <v>Gro</v>
      </c>
      <c r="M195" s="3" t="str">
        <f t="shared" si="30"/>
        <v>RD119</v>
      </c>
      <c r="N195" s="3" t="str">
        <f t="shared" si="31"/>
        <v>delhi</v>
      </c>
      <c r="O195" s="3" t="str">
        <f t="shared" si="32"/>
        <v>DELHI</v>
      </c>
      <c r="P195" s="3" t="str">
        <f t="shared" si="33"/>
        <v>Delhi</v>
      </c>
      <c r="Q195" s="3">
        <f t="shared" si="34"/>
        <v>3.4641016151377544</v>
      </c>
    </row>
    <row r="196" spans="1:17">
      <c r="A196" t="s">
        <v>229</v>
      </c>
      <c r="B196" s="1">
        <v>45327</v>
      </c>
      <c r="C196" t="s">
        <v>18</v>
      </c>
      <c r="D196" t="s">
        <v>33</v>
      </c>
      <c r="E196" t="s">
        <v>30</v>
      </c>
      <c r="F196">
        <v>15</v>
      </c>
      <c r="G196">
        <v>1300.97</v>
      </c>
      <c r="H196">
        <v>19514.55</v>
      </c>
      <c r="I196" t="str">
        <f t="shared" si="35"/>
        <v>Bulk Order</v>
      </c>
      <c r="J196" t="str">
        <f t="shared" si="27"/>
        <v>ValueShop - Chennai</v>
      </c>
      <c r="K196">
        <f t="shared" si="28"/>
        <v>14</v>
      </c>
      <c r="L196" t="str">
        <f t="shared" si="29"/>
        <v>Hom</v>
      </c>
      <c r="M196" s="3" t="str">
        <f t="shared" si="30"/>
        <v>RD119</v>
      </c>
      <c r="N196" s="3" t="str">
        <f t="shared" si="31"/>
        <v>chennai</v>
      </c>
      <c r="O196" s="3" t="str">
        <f t="shared" si="32"/>
        <v>CHENNAI</v>
      </c>
      <c r="P196" s="3" t="str">
        <f t="shared" si="33"/>
        <v>Chennai</v>
      </c>
      <c r="Q196" s="3">
        <f t="shared" si="34"/>
        <v>3.872983346207417</v>
      </c>
    </row>
    <row r="197" spans="1:17">
      <c r="A197" t="s">
        <v>230</v>
      </c>
      <c r="B197" s="1">
        <v>45564</v>
      </c>
      <c r="C197" t="s">
        <v>18</v>
      </c>
      <c r="D197" t="s">
        <v>50</v>
      </c>
      <c r="E197" t="s">
        <v>20</v>
      </c>
      <c r="F197">
        <v>3</v>
      </c>
      <c r="G197">
        <v>1472.11</v>
      </c>
      <c r="H197">
        <v>4416.33</v>
      </c>
      <c r="I197" t="str">
        <f t="shared" si="35"/>
        <v>Normal Order</v>
      </c>
      <c r="J197" t="str">
        <f t="shared" si="27"/>
        <v>ValueShop - Mumbai</v>
      </c>
      <c r="K197">
        <f t="shared" si="28"/>
        <v>11</v>
      </c>
      <c r="L197" t="str">
        <f t="shared" si="29"/>
        <v>Ele</v>
      </c>
      <c r="M197" s="3" t="str">
        <f t="shared" si="30"/>
        <v>RD119</v>
      </c>
      <c r="N197" s="3" t="str">
        <f t="shared" si="31"/>
        <v>mumbai</v>
      </c>
      <c r="O197" s="3" t="str">
        <f t="shared" si="32"/>
        <v>MUMBAI</v>
      </c>
      <c r="P197" s="3" t="str">
        <f t="shared" si="33"/>
        <v>Mumbai</v>
      </c>
      <c r="Q197" s="3">
        <f t="shared" si="34"/>
        <v>1.7320508075688772</v>
      </c>
    </row>
    <row r="198" spans="1:17">
      <c r="A198" t="s">
        <v>231</v>
      </c>
      <c r="B198" s="1">
        <v>45356</v>
      </c>
      <c r="C198" t="s">
        <v>39</v>
      </c>
      <c r="D198" t="s">
        <v>42</v>
      </c>
      <c r="E198" t="s">
        <v>44</v>
      </c>
      <c r="F198">
        <v>19</v>
      </c>
      <c r="G198">
        <v>1929.38</v>
      </c>
      <c r="H198">
        <v>36658.22</v>
      </c>
      <c r="I198" t="str">
        <f t="shared" si="35"/>
        <v>Bulk Order</v>
      </c>
      <c r="J198" t="str">
        <f t="shared" si="27"/>
        <v>Trendz - Pune</v>
      </c>
      <c r="K198">
        <f t="shared" si="28"/>
        <v>9</v>
      </c>
      <c r="L198" t="str">
        <f t="shared" si="29"/>
        <v>Gro</v>
      </c>
      <c r="M198" s="3" t="str">
        <f t="shared" si="30"/>
        <v>RD119</v>
      </c>
      <c r="N198" s="3" t="str">
        <f t="shared" si="31"/>
        <v>pune</v>
      </c>
      <c r="O198" s="3" t="str">
        <f t="shared" si="32"/>
        <v>PUNE</v>
      </c>
      <c r="P198" s="3" t="str">
        <f t="shared" si="33"/>
        <v>Pune</v>
      </c>
      <c r="Q198" s="3">
        <f t="shared" si="34"/>
        <v>4.358898943540674</v>
      </c>
    </row>
    <row r="199" spans="1:17">
      <c r="A199" t="s">
        <v>232</v>
      </c>
      <c r="B199" s="1">
        <v>45357</v>
      </c>
      <c r="C199" t="s">
        <v>18</v>
      </c>
      <c r="D199" t="s">
        <v>19</v>
      </c>
      <c r="E199" t="s">
        <v>27</v>
      </c>
      <c r="F199">
        <v>5</v>
      </c>
      <c r="G199">
        <v>780.2</v>
      </c>
      <c r="H199">
        <v>3901</v>
      </c>
      <c r="I199" t="str">
        <f t="shared" si="35"/>
        <v>Normal Order</v>
      </c>
      <c r="J199" t="str">
        <f t="shared" si="27"/>
        <v>ValueShop - Bangalore</v>
      </c>
      <c r="K199">
        <f t="shared" si="28"/>
        <v>5</v>
      </c>
      <c r="L199" t="str">
        <f t="shared" si="29"/>
        <v>Boo</v>
      </c>
      <c r="M199" s="3" t="str">
        <f t="shared" si="30"/>
        <v>RD119</v>
      </c>
      <c r="N199" s="3" t="str">
        <f t="shared" si="31"/>
        <v>bangalore</v>
      </c>
      <c r="O199" s="3" t="str">
        <f t="shared" si="32"/>
        <v>BANGALORE</v>
      </c>
      <c r="P199" s="3" t="str">
        <f t="shared" si="33"/>
        <v>Bangalore</v>
      </c>
      <c r="Q199" s="3">
        <f t="shared" si="34"/>
        <v>2.2360679774997898</v>
      </c>
    </row>
    <row r="200" spans="1:17">
      <c r="A200" t="s">
        <v>233</v>
      </c>
      <c r="B200" s="1">
        <v>45629</v>
      </c>
      <c r="C200" t="s">
        <v>39</v>
      </c>
      <c r="D200" t="s">
        <v>26</v>
      </c>
      <c r="E200" t="s">
        <v>27</v>
      </c>
      <c r="F200">
        <v>17</v>
      </c>
      <c r="G200">
        <v>1788.1</v>
      </c>
      <c r="H200">
        <v>30397.7</v>
      </c>
      <c r="I200" t="str">
        <f t="shared" si="35"/>
        <v>Bulk Order</v>
      </c>
      <c r="J200" t="str">
        <f t="shared" si="27"/>
        <v>Trendz - Delhi</v>
      </c>
      <c r="K200">
        <f t="shared" si="28"/>
        <v>5</v>
      </c>
      <c r="L200" t="str">
        <f t="shared" si="29"/>
        <v>Boo</v>
      </c>
      <c r="M200" s="3" t="str">
        <f t="shared" si="30"/>
        <v>RD119</v>
      </c>
      <c r="N200" s="3" t="str">
        <f t="shared" si="31"/>
        <v>delhi</v>
      </c>
      <c r="O200" s="3" t="str">
        <f t="shared" si="32"/>
        <v>DELHI</v>
      </c>
      <c r="P200" s="3" t="str">
        <f t="shared" si="33"/>
        <v>Delhi</v>
      </c>
      <c r="Q200" s="3">
        <f t="shared" si="34"/>
        <v>4.1231056256176606</v>
      </c>
    </row>
    <row r="201" spans="1:17">
      <c r="A201" t="s">
        <v>234</v>
      </c>
      <c r="B201" s="1">
        <v>45535</v>
      </c>
      <c r="C201" t="s">
        <v>18</v>
      </c>
      <c r="D201" t="s">
        <v>26</v>
      </c>
      <c r="E201" t="s">
        <v>34</v>
      </c>
      <c r="F201">
        <v>12</v>
      </c>
      <c r="G201">
        <v>924.65</v>
      </c>
      <c r="H201">
        <v>11095.8</v>
      </c>
      <c r="I201" t="str">
        <f t="shared" si="35"/>
        <v>Bulk Order</v>
      </c>
      <c r="J201" t="str">
        <f t="shared" si="27"/>
        <v>ValueShop - Delhi</v>
      </c>
      <c r="K201">
        <f t="shared" si="28"/>
        <v>4</v>
      </c>
      <c r="L201" t="str">
        <f t="shared" si="29"/>
        <v>Toy</v>
      </c>
      <c r="M201" s="3" t="str">
        <f t="shared" si="30"/>
        <v>RD119</v>
      </c>
      <c r="N201" s="3" t="str">
        <f t="shared" si="31"/>
        <v>delhi</v>
      </c>
      <c r="O201" s="3" t="str">
        <f t="shared" si="32"/>
        <v>DELHI</v>
      </c>
      <c r="P201" s="3" t="str">
        <f t="shared" si="33"/>
        <v>Delhi</v>
      </c>
      <c r="Q201" s="3">
        <f t="shared" si="34"/>
        <v>3.4641016151377544</v>
      </c>
    </row>
    <row r="202" spans="1:17">
      <c r="A202" t="s">
        <v>235</v>
      </c>
      <c r="B202" s="1">
        <v>45573</v>
      </c>
      <c r="C202" t="s">
        <v>32</v>
      </c>
      <c r="D202" t="s">
        <v>19</v>
      </c>
      <c r="E202" t="s">
        <v>30</v>
      </c>
      <c r="F202">
        <v>13</v>
      </c>
      <c r="G202">
        <v>1838.37</v>
      </c>
      <c r="H202">
        <v>23898.81</v>
      </c>
      <c r="I202" t="str">
        <f t="shared" si="35"/>
        <v>Bulk Order</v>
      </c>
      <c r="J202" t="str">
        <f t="shared" si="27"/>
        <v>MegaMart - Bangalore</v>
      </c>
      <c r="K202">
        <f t="shared" si="28"/>
        <v>14</v>
      </c>
      <c r="L202" t="str">
        <f t="shared" si="29"/>
        <v>Hom</v>
      </c>
      <c r="M202" s="3" t="str">
        <f t="shared" si="30"/>
        <v>RD120</v>
      </c>
      <c r="N202" s="3" t="str">
        <f t="shared" si="31"/>
        <v>bangalore</v>
      </c>
      <c r="O202" s="3" t="str">
        <f t="shared" si="32"/>
        <v>BANGALORE</v>
      </c>
      <c r="P202" s="3" t="str">
        <f t="shared" si="33"/>
        <v>Bangalore</v>
      </c>
      <c r="Q202" s="3">
        <f t="shared" si="34"/>
        <v>3.6055512754639891</v>
      </c>
    </row>
    <row r="203" spans="1:17">
      <c r="A203" t="s">
        <v>236</v>
      </c>
      <c r="B203" s="1">
        <v>45376</v>
      </c>
      <c r="C203" t="s">
        <v>39</v>
      </c>
      <c r="D203" t="s">
        <v>29</v>
      </c>
      <c r="E203" t="s">
        <v>34</v>
      </c>
      <c r="F203">
        <v>11</v>
      </c>
      <c r="G203">
        <v>786.12</v>
      </c>
      <c r="H203">
        <v>8647.32</v>
      </c>
      <c r="I203" t="str">
        <f t="shared" si="35"/>
        <v>Bulk Order</v>
      </c>
      <c r="J203" t="str">
        <f t="shared" si="27"/>
        <v>Trendz - Kolkata</v>
      </c>
      <c r="K203">
        <f t="shared" si="28"/>
        <v>4</v>
      </c>
      <c r="L203" t="str">
        <f t="shared" si="29"/>
        <v>Toy</v>
      </c>
      <c r="M203" s="3" t="str">
        <f t="shared" si="30"/>
        <v>RD120</v>
      </c>
      <c r="N203" s="3" t="str">
        <f t="shared" si="31"/>
        <v>kolkata</v>
      </c>
      <c r="O203" s="3" t="str">
        <f t="shared" si="32"/>
        <v>KOLKATA</v>
      </c>
      <c r="P203" s="3" t="str">
        <f t="shared" si="33"/>
        <v>Kolkata</v>
      </c>
      <c r="Q203" s="3">
        <f t="shared" si="34"/>
        <v>3.3166247903553998</v>
      </c>
    </row>
    <row r="204" spans="1:17">
      <c r="A204" t="s">
        <v>237</v>
      </c>
      <c r="B204" s="1">
        <v>45427</v>
      </c>
      <c r="C204" t="s">
        <v>32</v>
      </c>
      <c r="D204" t="s">
        <v>26</v>
      </c>
      <c r="E204" t="s">
        <v>27</v>
      </c>
      <c r="F204">
        <v>9</v>
      </c>
      <c r="G204">
        <v>206.49</v>
      </c>
      <c r="H204">
        <v>1858.41</v>
      </c>
      <c r="I204" t="str">
        <f t="shared" si="35"/>
        <v>Normal Order</v>
      </c>
      <c r="J204" t="str">
        <f t="shared" si="27"/>
        <v>MegaMart - Delhi</v>
      </c>
      <c r="K204">
        <f t="shared" si="28"/>
        <v>5</v>
      </c>
      <c r="L204" t="str">
        <f t="shared" si="29"/>
        <v>Boo</v>
      </c>
      <c r="M204" s="3" t="str">
        <f t="shared" si="30"/>
        <v>RD120</v>
      </c>
      <c r="N204" s="3" t="str">
        <f t="shared" si="31"/>
        <v>delhi</v>
      </c>
      <c r="O204" s="3" t="str">
        <f t="shared" si="32"/>
        <v>DELHI</v>
      </c>
      <c r="P204" s="3" t="str">
        <f t="shared" si="33"/>
        <v>Delhi</v>
      </c>
      <c r="Q204" s="3">
        <f t="shared" si="34"/>
        <v>3</v>
      </c>
    </row>
    <row r="205" spans="1:17">
      <c r="A205" t="s">
        <v>238</v>
      </c>
      <c r="B205" s="1">
        <v>45562</v>
      </c>
      <c r="C205" t="s">
        <v>25</v>
      </c>
      <c r="D205" t="s">
        <v>19</v>
      </c>
      <c r="E205" t="s">
        <v>44</v>
      </c>
      <c r="F205">
        <v>8</v>
      </c>
      <c r="G205">
        <v>1930.08</v>
      </c>
      <c r="H205">
        <v>15440.64</v>
      </c>
      <c r="I205" t="str">
        <f t="shared" si="35"/>
        <v>Normal Order</v>
      </c>
      <c r="J205" t="str">
        <f t="shared" si="27"/>
        <v>QuickBuy - Bangalore</v>
      </c>
      <c r="K205">
        <f t="shared" si="28"/>
        <v>9</v>
      </c>
      <c r="L205" t="str">
        <f t="shared" si="29"/>
        <v>Gro</v>
      </c>
      <c r="M205" s="3" t="str">
        <f t="shared" si="30"/>
        <v>RD120</v>
      </c>
      <c r="N205" s="3" t="str">
        <f t="shared" si="31"/>
        <v>bangalore</v>
      </c>
      <c r="O205" s="3" t="str">
        <f t="shared" si="32"/>
        <v>BANGALORE</v>
      </c>
      <c r="P205" s="3" t="str">
        <f t="shared" si="33"/>
        <v>Bangalore</v>
      </c>
      <c r="Q205" s="3">
        <f t="shared" si="34"/>
        <v>2.8284271247461903</v>
      </c>
    </row>
    <row r="206" spans="1:17">
      <c r="A206" t="s">
        <v>239</v>
      </c>
      <c r="B206" s="1">
        <v>45602</v>
      </c>
      <c r="C206" t="s">
        <v>32</v>
      </c>
      <c r="D206" t="s">
        <v>19</v>
      </c>
      <c r="E206" t="s">
        <v>20</v>
      </c>
      <c r="F206">
        <v>4</v>
      </c>
      <c r="G206">
        <v>1755.38</v>
      </c>
      <c r="H206">
        <v>7021.52</v>
      </c>
      <c r="I206" t="str">
        <f t="shared" si="35"/>
        <v>Normal Order</v>
      </c>
      <c r="J206" t="str">
        <f t="shared" si="27"/>
        <v>MegaMart - Bangalore</v>
      </c>
      <c r="K206">
        <f t="shared" si="28"/>
        <v>11</v>
      </c>
      <c r="L206" t="str">
        <f t="shared" si="29"/>
        <v>Ele</v>
      </c>
      <c r="M206" s="3" t="str">
        <f t="shared" si="30"/>
        <v>RD120</v>
      </c>
      <c r="N206" s="3" t="str">
        <f t="shared" si="31"/>
        <v>bangalore</v>
      </c>
      <c r="O206" s="3" t="str">
        <f t="shared" si="32"/>
        <v>BANGALORE</v>
      </c>
      <c r="P206" s="3" t="str">
        <f t="shared" si="33"/>
        <v>Bangalore</v>
      </c>
      <c r="Q206" s="3">
        <f t="shared" si="34"/>
        <v>2</v>
      </c>
    </row>
    <row r="207" spans="1:17">
      <c r="A207" t="s">
        <v>240</v>
      </c>
      <c r="B207" s="1">
        <v>45508</v>
      </c>
      <c r="C207" t="s">
        <v>18</v>
      </c>
      <c r="D207" t="s">
        <v>19</v>
      </c>
      <c r="E207" t="s">
        <v>23</v>
      </c>
      <c r="F207">
        <v>1</v>
      </c>
      <c r="G207">
        <v>309.33</v>
      </c>
      <c r="H207">
        <v>309.33</v>
      </c>
      <c r="I207" t="str">
        <f t="shared" si="35"/>
        <v>Normal Order</v>
      </c>
      <c r="J207" t="str">
        <f t="shared" si="27"/>
        <v>ValueShop - Bangalore</v>
      </c>
      <c r="K207">
        <f t="shared" si="28"/>
        <v>8</v>
      </c>
      <c r="L207" t="str">
        <f t="shared" si="29"/>
        <v>Clo</v>
      </c>
      <c r="M207" s="3" t="str">
        <f t="shared" si="30"/>
        <v>RD120</v>
      </c>
      <c r="N207" s="3" t="str">
        <f t="shared" si="31"/>
        <v>bangalore</v>
      </c>
      <c r="O207" s="3" t="str">
        <f t="shared" si="32"/>
        <v>BANGALORE</v>
      </c>
      <c r="P207" s="3" t="str">
        <f t="shared" si="33"/>
        <v>Bangalore</v>
      </c>
      <c r="Q207" s="3">
        <f t="shared" si="34"/>
        <v>1</v>
      </c>
    </row>
    <row r="208" spans="1:17">
      <c r="A208" t="s">
        <v>241</v>
      </c>
      <c r="B208" s="1">
        <v>45400</v>
      </c>
      <c r="C208" t="s">
        <v>22</v>
      </c>
      <c r="D208" t="s">
        <v>33</v>
      </c>
      <c r="E208" t="s">
        <v>30</v>
      </c>
      <c r="F208">
        <v>6</v>
      </c>
      <c r="G208">
        <v>1727.56</v>
      </c>
      <c r="H208">
        <v>10365.36</v>
      </c>
      <c r="I208" t="str">
        <f t="shared" si="35"/>
        <v>Normal Order</v>
      </c>
      <c r="J208" t="str">
        <f t="shared" si="27"/>
        <v>CityStore - Chennai</v>
      </c>
      <c r="K208">
        <f t="shared" si="28"/>
        <v>14</v>
      </c>
      <c r="L208" t="str">
        <f t="shared" si="29"/>
        <v>Hom</v>
      </c>
      <c r="M208" s="3" t="str">
        <f t="shared" si="30"/>
        <v>RD120</v>
      </c>
      <c r="N208" s="3" t="str">
        <f t="shared" si="31"/>
        <v>chennai</v>
      </c>
      <c r="O208" s="3" t="str">
        <f t="shared" si="32"/>
        <v>CHENNAI</v>
      </c>
      <c r="P208" s="3" t="str">
        <f t="shared" si="33"/>
        <v>Chennai</v>
      </c>
      <c r="Q208" s="3">
        <f t="shared" si="34"/>
        <v>2.4494897427831779</v>
      </c>
    </row>
    <row r="209" spans="1:17">
      <c r="A209" t="s">
        <v>242</v>
      </c>
      <c r="B209" s="1">
        <v>45568</v>
      </c>
      <c r="C209" t="s">
        <v>32</v>
      </c>
      <c r="D209" t="s">
        <v>50</v>
      </c>
      <c r="E209" t="s">
        <v>34</v>
      </c>
      <c r="F209">
        <v>16</v>
      </c>
      <c r="G209">
        <v>281.33</v>
      </c>
      <c r="H209">
        <v>4501.28</v>
      </c>
      <c r="I209" t="str">
        <f t="shared" si="35"/>
        <v>Bulk Order</v>
      </c>
      <c r="J209" t="str">
        <f t="shared" si="27"/>
        <v>MegaMart - Mumbai</v>
      </c>
      <c r="K209">
        <f t="shared" si="28"/>
        <v>4</v>
      </c>
      <c r="L209" t="str">
        <f t="shared" si="29"/>
        <v>Toy</v>
      </c>
      <c r="M209" s="3" t="str">
        <f t="shared" si="30"/>
        <v>RD120</v>
      </c>
      <c r="N209" s="3" t="str">
        <f t="shared" si="31"/>
        <v>mumbai</v>
      </c>
      <c r="O209" s="3" t="str">
        <f t="shared" si="32"/>
        <v>MUMBAI</v>
      </c>
      <c r="P209" s="3" t="str">
        <f t="shared" si="33"/>
        <v>Mumbai</v>
      </c>
      <c r="Q209" s="3">
        <f t="shared" si="34"/>
        <v>4</v>
      </c>
    </row>
    <row r="210" spans="1:17">
      <c r="A210" t="s">
        <v>243</v>
      </c>
      <c r="B210" s="1">
        <v>45645</v>
      </c>
      <c r="C210" t="s">
        <v>32</v>
      </c>
      <c r="D210" t="s">
        <v>50</v>
      </c>
      <c r="E210" t="s">
        <v>20</v>
      </c>
      <c r="F210">
        <v>17</v>
      </c>
      <c r="G210">
        <v>1986.05</v>
      </c>
      <c r="H210">
        <v>33762.85</v>
      </c>
      <c r="I210" t="str">
        <f t="shared" si="35"/>
        <v>Bulk Order</v>
      </c>
      <c r="J210" t="str">
        <f t="shared" si="27"/>
        <v>MegaMart - Mumbai</v>
      </c>
      <c r="K210">
        <f t="shared" si="28"/>
        <v>11</v>
      </c>
      <c r="L210" t="str">
        <f t="shared" si="29"/>
        <v>Ele</v>
      </c>
      <c r="M210" s="3" t="str">
        <f t="shared" si="30"/>
        <v>RD120</v>
      </c>
      <c r="N210" s="3" t="str">
        <f t="shared" si="31"/>
        <v>mumbai</v>
      </c>
      <c r="O210" s="3" t="str">
        <f t="shared" si="32"/>
        <v>MUMBAI</v>
      </c>
      <c r="P210" s="3" t="str">
        <f t="shared" si="33"/>
        <v>Mumbai</v>
      </c>
      <c r="Q210" s="3">
        <f t="shared" si="34"/>
        <v>4.1231056256176606</v>
      </c>
    </row>
    <row r="211" spans="1:17">
      <c r="A211" t="s">
        <v>244</v>
      </c>
      <c r="B211" s="1">
        <v>45394</v>
      </c>
      <c r="C211" t="s">
        <v>32</v>
      </c>
      <c r="D211" t="s">
        <v>37</v>
      </c>
      <c r="E211" t="s">
        <v>20</v>
      </c>
      <c r="F211">
        <v>13</v>
      </c>
      <c r="G211">
        <v>816.46</v>
      </c>
      <c r="H211">
        <v>10613.98</v>
      </c>
      <c r="I211" t="str">
        <f t="shared" si="35"/>
        <v>Bulk Order</v>
      </c>
      <c r="J211" t="str">
        <f t="shared" si="27"/>
        <v>MegaMart - Hyderabad</v>
      </c>
      <c r="K211">
        <f t="shared" si="28"/>
        <v>11</v>
      </c>
      <c r="L211" t="str">
        <f t="shared" si="29"/>
        <v>Ele</v>
      </c>
      <c r="M211" s="3" t="str">
        <f t="shared" si="30"/>
        <v>RD120</v>
      </c>
      <c r="N211" s="3" t="str">
        <f t="shared" si="31"/>
        <v>hyderabad</v>
      </c>
      <c r="O211" s="3" t="str">
        <f t="shared" si="32"/>
        <v>HYDERABAD</v>
      </c>
      <c r="P211" s="3" t="str">
        <f t="shared" si="33"/>
        <v>Hyderabad</v>
      </c>
      <c r="Q211" s="3">
        <f t="shared" si="34"/>
        <v>3.6055512754639891</v>
      </c>
    </row>
    <row r="212" spans="1:17">
      <c r="A212" t="s">
        <v>245</v>
      </c>
      <c r="B212" s="1">
        <v>45657</v>
      </c>
      <c r="C212" t="s">
        <v>22</v>
      </c>
      <c r="D212" t="s">
        <v>33</v>
      </c>
      <c r="E212" t="s">
        <v>23</v>
      </c>
      <c r="F212">
        <v>18</v>
      </c>
      <c r="G212">
        <v>298.33</v>
      </c>
      <c r="H212">
        <v>5369.94</v>
      </c>
      <c r="I212" t="str">
        <f t="shared" si="35"/>
        <v>Bulk Order</v>
      </c>
      <c r="J212" t="str">
        <f t="shared" si="27"/>
        <v>CityStore - Chennai</v>
      </c>
      <c r="K212">
        <f t="shared" si="28"/>
        <v>8</v>
      </c>
      <c r="L212" t="str">
        <f t="shared" si="29"/>
        <v>Clo</v>
      </c>
      <c r="M212" s="3" t="str">
        <f t="shared" si="30"/>
        <v>RD121</v>
      </c>
      <c r="N212" s="3" t="str">
        <f t="shared" si="31"/>
        <v>chennai</v>
      </c>
      <c r="O212" s="3" t="str">
        <f t="shared" si="32"/>
        <v>CHENNAI</v>
      </c>
      <c r="P212" s="3" t="str">
        <f t="shared" si="33"/>
        <v>Chennai</v>
      </c>
      <c r="Q212" s="3">
        <f t="shared" si="34"/>
        <v>4.2426406871192848</v>
      </c>
    </row>
    <row r="213" spans="1:17">
      <c r="A213" t="s">
        <v>246</v>
      </c>
      <c r="B213" s="1">
        <v>45451</v>
      </c>
      <c r="C213" t="s">
        <v>22</v>
      </c>
      <c r="D213" t="s">
        <v>37</v>
      </c>
      <c r="E213" t="s">
        <v>44</v>
      </c>
      <c r="F213">
        <v>4</v>
      </c>
      <c r="G213">
        <v>1958.51</v>
      </c>
      <c r="H213">
        <v>7834.04</v>
      </c>
      <c r="I213" t="str">
        <f t="shared" si="35"/>
        <v>Normal Order</v>
      </c>
      <c r="J213" t="str">
        <f t="shared" si="27"/>
        <v>CityStore - Hyderabad</v>
      </c>
      <c r="K213">
        <f t="shared" si="28"/>
        <v>9</v>
      </c>
      <c r="L213" t="str">
        <f t="shared" si="29"/>
        <v>Gro</v>
      </c>
      <c r="M213" s="3" t="str">
        <f t="shared" si="30"/>
        <v>RD121</v>
      </c>
      <c r="N213" s="3" t="str">
        <f t="shared" si="31"/>
        <v>hyderabad</v>
      </c>
      <c r="O213" s="3" t="str">
        <f t="shared" si="32"/>
        <v>HYDERABAD</v>
      </c>
      <c r="P213" s="3" t="str">
        <f t="shared" si="33"/>
        <v>Hyderabad</v>
      </c>
      <c r="Q213" s="3">
        <f t="shared" si="34"/>
        <v>2</v>
      </c>
    </row>
    <row r="214" spans="1:17">
      <c r="A214" t="s">
        <v>247</v>
      </c>
      <c r="B214" s="1">
        <v>45496</v>
      </c>
      <c r="C214" t="s">
        <v>32</v>
      </c>
      <c r="D214" t="s">
        <v>42</v>
      </c>
      <c r="E214" t="s">
        <v>23</v>
      </c>
      <c r="F214">
        <v>9</v>
      </c>
      <c r="G214">
        <v>1677.9</v>
      </c>
      <c r="H214">
        <v>15101.1</v>
      </c>
      <c r="I214" t="str">
        <f t="shared" si="35"/>
        <v>Normal Order</v>
      </c>
      <c r="J214" t="str">
        <f t="shared" si="27"/>
        <v>MegaMart - Pune</v>
      </c>
      <c r="K214">
        <f t="shared" si="28"/>
        <v>8</v>
      </c>
      <c r="L214" t="str">
        <f t="shared" si="29"/>
        <v>Clo</v>
      </c>
      <c r="M214" s="3" t="str">
        <f t="shared" si="30"/>
        <v>RD121</v>
      </c>
      <c r="N214" s="3" t="str">
        <f t="shared" si="31"/>
        <v>pune</v>
      </c>
      <c r="O214" s="3" t="str">
        <f t="shared" si="32"/>
        <v>PUNE</v>
      </c>
      <c r="P214" s="3" t="str">
        <f t="shared" si="33"/>
        <v>Pune</v>
      </c>
      <c r="Q214" s="3">
        <f t="shared" si="34"/>
        <v>3</v>
      </c>
    </row>
    <row r="215" spans="1:17">
      <c r="A215" t="s">
        <v>248</v>
      </c>
      <c r="B215" s="1">
        <v>45635</v>
      </c>
      <c r="C215" t="s">
        <v>25</v>
      </c>
      <c r="D215" t="s">
        <v>29</v>
      </c>
      <c r="E215" t="s">
        <v>23</v>
      </c>
      <c r="F215">
        <v>9</v>
      </c>
      <c r="G215">
        <v>1524.55</v>
      </c>
      <c r="H215">
        <v>13720.95</v>
      </c>
      <c r="I215" t="str">
        <f t="shared" si="35"/>
        <v>Normal Order</v>
      </c>
      <c r="J215" t="str">
        <f t="shared" si="27"/>
        <v>QuickBuy - Kolkata</v>
      </c>
      <c r="K215">
        <f t="shared" si="28"/>
        <v>8</v>
      </c>
      <c r="L215" t="str">
        <f t="shared" si="29"/>
        <v>Clo</v>
      </c>
      <c r="M215" s="3" t="str">
        <f t="shared" si="30"/>
        <v>RD121</v>
      </c>
      <c r="N215" s="3" t="str">
        <f t="shared" si="31"/>
        <v>kolkata</v>
      </c>
      <c r="O215" s="3" t="str">
        <f t="shared" si="32"/>
        <v>KOLKATA</v>
      </c>
      <c r="P215" s="3" t="str">
        <f t="shared" si="33"/>
        <v>Kolkata</v>
      </c>
      <c r="Q215" s="3">
        <f t="shared" si="34"/>
        <v>3</v>
      </c>
    </row>
    <row r="216" spans="1:17">
      <c r="A216" t="s">
        <v>249</v>
      </c>
      <c r="B216" s="1">
        <v>45624</v>
      </c>
      <c r="C216" t="s">
        <v>22</v>
      </c>
      <c r="D216" t="s">
        <v>50</v>
      </c>
      <c r="E216" t="s">
        <v>44</v>
      </c>
      <c r="F216">
        <v>15</v>
      </c>
      <c r="G216">
        <v>1958.06</v>
      </c>
      <c r="H216">
        <v>29370.9</v>
      </c>
      <c r="I216" t="str">
        <f t="shared" si="35"/>
        <v>Bulk Order</v>
      </c>
      <c r="J216" t="str">
        <f t="shared" si="27"/>
        <v>CityStore - Mumbai</v>
      </c>
      <c r="K216">
        <f t="shared" si="28"/>
        <v>9</v>
      </c>
      <c r="L216" t="str">
        <f t="shared" si="29"/>
        <v>Gro</v>
      </c>
      <c r="M216" s="3" t="str">
        <f t="shared" si="30"/>
        <v>RD121</v>
      </c>
      <c r="N216" s="3" t="str">
        <f t="shared" si="31"/>
        <v>mumbai</v>
      </c>
      <c r="O216" s="3" t="str">
        <f t="shared" si="32"/>
        <v>MUMBAI</v>
      </c>
      <c r="P216" s="3" t="str">
        <f t="shared" si="33"/>
        <v>Mumbai</v>
      </c>
      <c r="Q216" s="3">
        <f t="shared" si="34"/>
        <v>3.872983346207417</v>
      </c>
    </row>
    <row r="217" spans="1:17">
      <c r="A217" t="s">
        <v>250</v>
      </c>
      <c r="B217" s="1">
        <v>45483</v>
      </c>
      <c r="C217" t="s">
        <v>22</v>
      </c>
      <c r="D217" t="s">
        <v>50</v>
      </c>
      <c r="E217" t="s">
        <v>44</v>
      </c>
      <c r="F217">
        <v>7</v>
      </c>
      <c r="G217">
        <v>952.86</v>
      </c>
      <c r="H217">
        <v>6670.02</v>
      </c>
      <c r="I217" t="str">
        <f t="shared" si="35"/>
        <v>Normal Order</v>
      </c>
      <c r="J217" t="str">
        <f t="shared" si="27"/>
        <v>CityStore - Mumbai</v>
      </c>
      <c r="K217">
        <f t="shared" si="28"/>
        <v>9</v>
      </c>
      <c r="L217" t="str">
        <f t="shared" si="29"/>
        <v>Gro</v>
      </c>
      <c r="M217" s="3" t="str">
        <f t="shared" si="30"/>
        <v>RD121</v>
      </c>
      <c r="N217" s="3" t="str">
        <f t="shared" si="31"/>
        <v>mumbai</v>
      </c>
      <c r="O217" s="3" t="str">
        <f t="shared" si="32"/>
        <v>MUMBAI</v>
      </c>
      <c r="P217" s="3" t="str">
        <f t="shared" si="33"/>
        <v>Mumbai</v>
      </c>
      <c r="Q217" s="3">
        <f t="shared" si="34"/>
        <v>2.6457513110645907</v>
      </c>
    </row>
    <row r="218" spans="1:17">
      <c r="A218" t="s">
        <v>251</v>
      </c>
      <c r="B218" s="1">
        <v>45516</v>
      </c>
      <c r="C218" t="s">
        <v>22</v>
      </c>
      <c r="D218" t="s">
        <v>50</v>
      </c>
      <c r="E218" t="s">
        <v>44</v>
      </c>
      <c r="F218">
        <v>20</v>
      </c>
      <c r="G218">
        <v>1452.23</v>
      </c>
      <c r="H218">
        <v>29044.6</v>
      </c>
      <c r="I218" t="str">
        <f t="shared" si="35"/>
        <v>Bulk Order</v>
      </c>
      <c r="J218" t="str">
        <f t="shared" si="27"/>
        <v>CityStore - Mumbai</v>
      </c>
      <c r="K218">
        <f t="shared" si="28"/>
        <v>9</v>
      </c>
      <c r="L218" t="str">
        <f t="shared" si="29"/>
        <v>Gro</v>
      </c>
      <c r="M218" s="3" t="str">
        <f t="shared" si="30"/>
        <v>RD121</v>
      </c>
      <c r="N218" s="3" t="str">
        <f t="shared" si="31"/>
        <v>mumbai</v>
      </c>
      <c r="O218" s="3" t="str">
        <f t="shared" si="32"/>
        <v>MUMBAI</v>
      </c>
      <c r="P218" s="3" t="str">
        <f t="shared" si="33"/>
        <v>Mumbai</v>
      </c>
      <c r="Q218" s="3">
        <f t="shared" si="34"/>
        <v>4.4721359549995796</v>
      </c>
    </row>
    <row r="219" spans="1:17">
      <c r="A219" t="s">
        <v>252</v>
      </c>
      <c r="B219" s="1">
        <v>45556</v>
      </c>
      <c r="C219" t="s">
        <v>39</v>
      </c>
      <c r="D219" t="s">
        <v>26</v>
      </c>
      <c r="E219" t="s">
        <v>20</v>
      </c>
      <c r="F219">
        <v>10</v>
      </c>
      <c r="G219">
        <v>877.05</v>
      </c>
      <c r="H219">
        <v>8770.5</v>
      </c>
      <c r="I219" t="str">
        <f t="shared" si="35"/>
        <v>Normal Order</v>
      </c>
      <c r="J219" t="str">
        <f t="shared" si="27"/>
        <v>Trendz - Delhi</v>
      </c>
      <c r="K219">
        <f t="shared" si="28"/>
        <v>11</v>
      </c>
      <c r="L219" t="str">
        <f t="shared" si="29"/>
        <v>Ele</v>
      </c>
      <c r="M219" s="3" t="str">
        <f t="shared" si="30"/>
        <v>RD121</v>
      </c>
      <c r="N219" s="3" t="str">
        <f t="shared" si="31"/>
        <v>delhi</v>
      </c>
      <c r="O219" s="3" t="str">
        <f t="shared" si="32"/>
        <v>DELHI</v>
      </c>
      <c r="P219" s="3" t="str">
        <f t="shared" si="33"/>
        <v>Delhi</v>
      </c>
      <c r="Q219" s="3">
        <f t="shared" si="34"/>
        <v>3.1622776601683795</v>
      </c>
    </row>
    <row r="220" spans="1:17">
      <c r="A220" t="s">
        <v>253</v>
      </c>
      <c r="B220" s="1">
        <v>45523</v>
      </c>
      <c r="C220" t="s">
        <v>32</v>
      </c>
      <c r="D220" t="s">
        <v>37</v>
      </c>
      <c r="E220" t="s">
        <v>20</v>
      </c>
      <c r="F220">
        <v>16</v>
      </c>
      <c r="G220">
        <v>789.59</v>
      </c>
      <c r="H220">
        <v>12633.44</v>
      </c>
      <c r="I220" t="str">
        <f t="shared" si="35"/>
        <v>Bulk Order</v>
      </c>
      <c r="J220" t="str">
        <f t="shared" si="27"/>
        <v>MegaMart - Hyderabad</v>
      </c>
      <c r="K220">
        <f t="shared" si="28"/>
        <v>11</v>
      </c>
      <c r="L220" t="str">
        <f t="shared" si="29"/>
        <v>Ele</v>
      </c>
      <c r="M220" s="3" t="str">
        <f t="shared" si="30"/>
        <v>RD121</v>
      </c>
      <c r="N220" s="3" t="str">
        <f t="shared" si="31"/>
        <v>hyderabad</v>
      </c>
      <c r="O220" s="3" t="str">
        <f t="shared" si="32"/>
        <v>HYDERABAD</v>
      </c>
      <c r="P220" s="3" t="str">
        <f t="shared" si="33"/>
        <v>Hyderabad</v>
      </c>
      <c r="Q220" s="3">
        <f t="shared" si="34"/>
        <v>4</v>
      </c>
    </row>
    <row r="221" spans="1:17">
      <c r="A221" t="s">
        <v>254</v>
      </c>
      <c r="B221" s="1">
        <v>45353</v>
      </c>
      <c r="C221" t="s">
        <v>25</v>
      </c>
      <c r="D221" t="s">
        <v>29</v>
      </c>
      <c r="E221" t="s">
        <v>30</v>
      </c>
      <c r="F221">
        <v>7</v>
      </c>
      <c r="G221">
        <v>497.84</v>
      </c>
      <c r="H221">
        <v>3484.88</v>
      </c>
      <c r="I221" t="str">
        <f t="shared" si="35"/>
        <v>Normal Order</v>
      </c>
      <c r="J221" t="str">
        <f t="shared" si="27"/>
        <v>QuickBuy - Kolkata</v>
      </c>
      <c r="K221">
        <f t="shared" si="28"/>
        <v>14</v>
      </c>
      <c r="L221" t="str">
        <f t="shared" si="29"/>
        <v>Hom</v>
      </c>
      <c r="M221" s="3" t="str">
        <f t="shared" si="30"/>
        <v>RD121</v>
      </c>
      <c r="N221" s="3" t="str">
        <f t="shared" si="31"/>
        <v>kolkata</v>
      </c>
      <c r="O221" s="3" t="str">
        <f t="shared" si="32"/>
        <v>KOLKATA</v>
      </c>
      <c r="P221" s="3" t="str">
        <f t="shared" si="33"/>
        <v>Kolkata</v>
      </c>
      <c r="Q221" s="3">
        <f t="shared" si="34"/>
        <v>2.6457513110645907</v>
      </c>
    </row>
    <row r="222" spans="1:17">
      <c r="A222" t="s">
        <v>255</v>
      </c>
      <c r="B222" s="1">
        <v>45418</v>
      </c>
      <c r="C222" t="s">
        <v>22</v>
      </c>
      <c r="D222" t="s">
        <v>33</v>
      </c>
      <c r="E222" t="s">
        <v>27</v>
      </c>
      <c r="F222">
        <v>4</v>
      </c>
      <c r="G222">
        <v>948.22</v>
      </c>
      <c r="H222">
        <v>3792.88</v>
      </c>
      <c r="I222" t="str">
        <f t="shared" si="35"/>
        <v>Normal Order</v>
      </c>
      <c r="J222" t="str">
        <f t="shared" si="27"/>
        <v>CityStore - Chennai</v>
      </c>
      <c r="K222">
        <f t="shared" si="28"/>
        <v>5</v>
      </c>
      <c r="L222" t="str">
        <f t="shared" si="29"/>
        <v>Boo</v>
      </c>
      <c r="M222" s="3" t="str">
        <f t="shared" si="30"/>
        <v>RD122</v>
      </c>
      <c r="N222" s="3" t="str">
        <f t="shared" si="31"/>
        <v>chennai</v>
      </c>
      <c r="O222" s="3" t="str">
        <f t="shared" si="32"/>
        <v>CHENNAI</v>
      </c>
      <c r="P222" s="3" t="str">
        <f t="shared" si="33"/>
        <v>Chennai</v>
      </c>
      <c r="Q222" s="3">
        <f t="shared" si="34"/>
        <v>2</v>
      </c>
    </row>
    <row r="223" spans="1:17">
      <c r="A223" t="s">
        <v>256</v>
      </c>
      <c r="B223" s="1">
        <v>45407</v>
      </c>
      <c r="C223" t="s">
        <v>39</v>
      </c>
      <c r="D223" t="s">
        <v>37</v>
      </c>
      <c r="E223" t="s">
        <v>30</v>
      </c>
      <c r="F223">
        <v>5</v>
      </c>
      <c r="G223">
        <v>352.49</v>
      </c>
      <c r="H223">
        <v>1762.45</v>
      </c>
      <c r="I223" t="str">
        <f t="shared" si="35"/>
        <v>Normal Order</v>
      </c>
      <c r="J223" t="str">
        <f t="shared" si="27"/>
        <v>Trendz - Hyderabad</v>
      </c>
      <c r="K223">
        <f t="shared" si="28"/>
        <v>14</v>
      </c>
      <c r="L223" t="str">
        <f t="shared" si="29"/>
        <v>Hom</v>
      </c>
      <c r="M223" s="3" t="str">
        <f t="shared" si="30"/>
        <v>RD122</v>
      </c>
      <c r="N223" s="3" t="str">
        <f t="shared" si="31"/>
        <v>hyderabad</v>
      </c>
      <c r="O223" s="3" t="str">
        <f t="shared" si="32"/>
        <v>HYDERABAD</v>
      </c>
      <c r="P223" s="3" t="str">
        <f t="shared" si="33"/>
        <v>Hyderabad</v>
      </c>
      <c r="Q223" s="3">
        <f t="shared" si="34"/>
        <v>2.2360679774997898</v>
      </c>
    </row>
    <row r="224" spans="1:17">
      <c r="A224" t="s">
        <v>257</v>
      </c>
      <c r="B224" s="1">
        <v>45324</v>
      </c>
      <c r="C224" t="s">
        <v>18</v>
      </c>
      <c r="D224" t="s">
        <v>42</v>
      </c>
      <c r="E224" t="s">
        <v>23</v>
      </c>
      <c r="F224">
        <v>3</v>
      </c>
      <c r="G224">
        <v>417.54</v>
      </c>
      <c r="H224">
        <v>1252.6199999999999</v>
      </c>
      <c r="I224" t="str">
        <f t="shared" si="35"/>
        <v>Normal Order</v>
      </c>
      <c r="J224" t="str">
        <f t="shared" si="27"/>
        <v>ValueShop - Pune</v>
      </c>
      <c r="K224">
        <f t="shared" si="28"/>
        <v>8</v>
      </c>
      <c r="L224" t="str">
        <f t="shared" si="29"/>
        <v>Clo</v>
      </c>
      <c r="M224" s="3" t="str">
        <f t="shared" si="30"/>
        <v>RD122</v>
      </c>
      <c r="N224" s="3" t="str">
        <f t="shared" si="31"/>
        <v>pune</v>
      </c>
      <c r="O224" s="3" t="str">
        <f t="shared" si="32"/>
        <v>PUNE</v>
      </c>
      <c r="P224" s="3" t="str">
        <f t="shared" si="33"/>
        <v>Pune</v>
      </c>
      <c r="Q224" s="3">
        <f t="shared" si="34"/>
        <v>1.7320508075688772</v>
      </c>
    </row>
    <row r="225" spans="1:17">
      <c r="A225" t="s">
        <v>258</v>
      </c>
      <c r="B225" s="1">
        <v>45465</v>
      </c>
      <c r="C225" t="s">
        <v>18</v>
      </c>
      <c r="D225" t="s">
        <v>50</v>
      </c>
      <c r="E225" t="s">
        <v>23</v>
      </c>
      <c r="F225">
        <v>15</v>
      </c>
      <c r="G225">
        <v>1756.66</v>
      </c>
      <c r="H225">
        <v>26349.9</v>
      </c>
      <c r="I225" t="str">
        <f t="shared" si="35"/>
        <v>Bulk Order</v>
      </c>
      <c r="J225" t="str">
        <f t="shared" si="27"/>
        <v>ValueShop - Mumbai</v>
      </c>
      <c r="K225">
        <f t="shared" si="28"/>
        <v>8</v>
      </c>
      <c r="L225" t="str">
        <f t="shared" si="29"/>
        <v>Clo</v>
      </c>
      <c r="M225" s="3" t="str">
        <f t="shared" si="30"/>
        <v>RD122</v>
      </c>
      <c r="N225" s="3" t="str">
        <f t="shared" si="31"/>
        <v>mumbai</v>
      </c>
      <c r="O225" s="3" t="str">
        <f t="shared" si="32"/>
        <v>MUMBAI</v>
      </c>
      <c r="P225" s="3" t="str">
        <f t="shared" si="33"/>
        <v>Mumbai</v>
      </c>
      <c r="Q225" s="3">
        <f t="shared" si="34"/>
        <v>3.872983346207417</v>
      </c>
    </row>
    <row r="226" spans="1:17">
      <c r="A226" t="s">
        <v>259</v>
      </c>
      <c r="B226" s="1">
        <v>45302</v>
      </c>
      <c r="C226" t="s">
        <v>22</v>
      </c>
      <c r="D226" t="s">
        <v>33</v>
      </c>
      <c r="E226" t="s">
        <v>30</v>
      </c>
      <c r="F226">
        <v>6</v>
      </c>
      <c r="G226">
        <v>1542.71</v>
      </c>
      <c r="H226">
        <v>9256.26</v>
      </c>
      <c r="I226" t="str">
        <f t="shared" si="35"/>
        <v>Normal Order</v>
      </c>
      <c r="J226" t="str">
        <f t="shared" si="27"/>
        <v>CityStore - Chennai</v>
      </c>
      <c r="K226">
        <f t="shared" si="28"/>
        <v>14</v>
      </c>
      <c r="L226" t="str">
        <f t="shared" si="29"/>
        <v>Hom</v>
      </c>
      <c r="M226" s="3" t="str">
        <f t="shared" si="30"/>
        <v>RD122</v>
      </c>
      <c r="N226" s="3" t="str">
        <f t="shared" si="31"/>
        <v>chennai</v>
      </c>
      <c r="O226" s="3" t="str">
        <f t="shared" si="32"/>
        <v>CHENNAI</v>
      </c>
      <c r="P226" s="3" t="str">
        <f t="shared" si="33"/>
        <v>Chennai</v>
      </c>
      <c r="Q226" s="3">
        <f t="shared" si="34"/>
        <v>2.4494897427831779</v>
      </c>
    </row>
    <row r="227" spans="1:17">
      <c r="A227" t="s">
        <v>260</v>
      </c>
      <c r="B227" s="1">
        <v>45593</v>
      </c>
      <c r="C227" t="s">
        <v>25</v>
      </c>
      <c r="D227" t="s">
        <v>37</v>
      </c>
      <c r="E227" t="s">
        <v>34</v>
      </c>
      <c r="F227">
        <v>15</v>
      </c>
      <c r="G227">
        <v>112.82</v>
      </c>
      <c r="H227">
        <v>1692.3</v>
      </c>
      <c r="I227" t="str">
        <f t="shared" si="35"/>
        <v>Bulk Order</v>
      </c>
      <c r="J227" t="str">
        <f t="shared" si="27"/>
        <v>QuickBuy - Hyderabad</v>
      </c>
      <c r="K227">
        <f t="shared" si="28"/>
        <v>4</v>
      </c>
      <c r="L227" t="str">
        <f t="shared" si="29"/>
        <v>Toy</v>
      </c>
      <c r="M227" s="3" t="str">
        <f t="shared" si="30"/>
        <v>RD122</v>
      </c>
      <c r="N227" s="3" t="str">
        <f t="shared" si="31"/>
        <v>hyderabad</v>
      </c>
      <c r="O227" s="3" t="str">
        <f t="shared" si="32"/>
        <v>HYDERABAD</v>
      </c>
      <c r="P227" s="3" t="str">
        <f t="shared" si="33"/>
        <v>Hyderabad</v>
      </c>
      <c r="Q227" s="3">
        <f t="shared" si="34"/>
        <v>3.872983346207417</v>
      </c>
    </row>
    <row r="228" spans="1:17">
      <c r="A228" t="s">
        <v>261</v>
      </c>
      <c r="B228" s="1">
        <v>45575</v>
      </c>
      <c r="C228" t="s">
        <v>25</v>
      </c>
      <c r="D228" t="s">
        <v>50</v>
      </c>
      <c r="E228" t="s">
        <v>27</v>
      </c>
      <c r="F228">
        <v>3</v>
      </c>
      <c r="G228">
        <v>1337.39</v>
      </c>
      <c r="H228">
        <v>4012.17</v>
      </c>
      <c r="I228" t="str">
        <f t="shared" si="35"/>
        <v>Normal Order</v>
      </c>
      <c r="J228" t="str">
        <f t="shared" si="27"/>
        <v>QuickBuy - Mumbai</v>
      </c>
      <c r="K228">
        <f t="shared" si="28"/>
        <v>5</v>
      </c>
      <c r="L228" t="str">
        <f t="shared" si="29"/>
        <v>Boo</v>
      </c>
      <c r="M228" s="3" t="str">
        <f t="shared" si="30"/>
        <v>RD122</v>
      </c>
      <c r="N228" s="3" t="str">
        <f t="shared" si="31"/>
        <v>mumbai</v>
      </c>
      <c r="O228" s="3" t="str">
        <f t="shared" si="32"/>
        <v>MUMBAI</v>
      </c>
      <c r="P228" s="3" t="str">
        <f t="shared" si="33"/>
        <v>Mumbai</v>
      </c>
      <c r="Q228" s="3">
        <f t="shared" si="34"/>
        <v>1.7320508075688772</v>
      </c>
    </row>
    <row r="229" spans="1:17">
      <c r="A229" t="s">
        <v>262</v>
      </c>
      <c r="B229" s="1">
        <v>45409</v>
      </c>
      <c r="C229" t="s">
        <v>32</v>
      </c>
      <c r="D229" t="s">
        <v>50</v>
      </c>
      <c r="E229" t="s">
        <v>23</v>
      </c>
      <c r="F229">
        <v>11</v>
      </c>
      <c r="G229">
        <v>1249.0999999999999</v>
      </c>
      <c r="H229">
        <v>13740.1</v>
      </c>
      <c r="I229" t="str">
        <f t="shared" si="35"/>
        <v>Bulk Order</v>
      </c>
      <c r="J229" t="str">
        <f t="shared" si="27"/>
        <v>MegaMart - Mumbai</v>
      </c>
      <c r="K229">
        <f t="shared" si="28"/>
        <v>8</v>
      </c>
      <c r="L229" t="str">
        <f t="shared" si="29"/>
        <v>Clo</v>
      </c>
      <c r="M229" s="3" t="str">
        <f t="shared" si="30"/>
        <v>RD122</v>
      </c>
      <c r="N229" s="3" t="str">
        <f t="shared" si="31"/>
        <v>mumbai</v>
      </c>
      <c r="O229" s="3" t="str">
        <f t="shared" si="32"/>
        <v>MUMBAI</v>
      </c>
      <c r="P229" s="3" t="str">
        <f t="shared" si="33"/>
        <v>Mumbai</v>
      </c>
      <c r="Q229" s="3">
        <f t="shared" si="34"/>
        <v>3.3166247903553998</v>
      </c>
    </row>
    <row r="230" spans="1:17">
      <c r="A230" t="s">
        <v>263</v>
      </c>
      <c r="B230" s="1">
        <v>45593</v>
      </c>
      <c r="C230" t="s">
        <v>22</v>
      </c>
      <c r="D230" t="s">
        <v>33</v>
      </c>
      <c r="E230" t="s">
        <v>34</v>
      </c>
      <c r="F230">
        <v>12</v>
      </c>
      <c r="G230">
        <v>1875.66</v>
      </c>
      <c r="H230">
        <v>22507.919999999998</v>
      </c>
      <c r="I230" t="str">
        <f t="shared" si="35"/>
        <v>Bulk Order</v>
      </c>
      <c r="J230" t="str">
        <f t="shared" si="27"/>
        <v>CityStore - Chennai</v>
      </c>
      <c r="K230">
        <f t="shared" si="28"/>
        <v>4</v>
      </c>
      <c r="L230" t="str">
        <f t="shared" si="29"/>
        <v>Toy</v>
      </c>
      <c r="M230" s="3" t="str">
        <f t="shared" si="30"/>
        <v>RD122</v>
      </c>
      <c r="N230" s="3" t="str">
        <f t="shared" si="31"/>
        <v>chennai</v>
      </c>
      <c r="O230" s="3" t="str">
        <f t="shared" si="32"/>
        <v>CHENNAI</v>
      </c>
      <c r="P230" s="3" t="str">
        <f t="shared" si="33"/>
        <v>Chennai</v>
      </c>
      <c r="Q230" s="3">
        <f t="shared" si="34"/>
        <v>3.4641016151377544</v>
      </c>
    </row>
    <row r="231" spans="1:17">
      <c r="A231" t="s">
        <v>264</v>
      </c>
      <c r="B231" s="1">
        <v>45404</v>
      </c>
      <c r="C231" t="s">
        <v>18</v>
      </c>
      <c r="D231" t="s">
        <v>42</v>
      </c>
      <c r="E231" t="s">
        <v>34</v>
      </c>
      <c r="F231">
        <v>3</v>
      </c>
      <c r="G231">
        <v>1783.63</v>
      </c>
      <c r="H231">
        <v>5350.89</v>
      </c>
      <c r="I231" t="str">
        <f t="shared" si="35"/>
        <v>Normal Order</v>
      </c>
      <c r="J231" t="str">
        <f t="shared" si="27"/>
        <v>ValueShop - Pune</v>
      </c>
      <c r="K231">
        <f t="shared" si="28"/>
        <v>4</v>
      </c>
      <c r="L231" t="str">
        <f t="shared" si="29"/>
        <v>Toy</v>
      </c>
      <c r="M231" s="3" t="str">
        <f t="shared" si="30"/>
        <v>RD122</v>
      </c>
      <c r="N231" s="3" t="str">
        <f t="shared" si="31"/>
        <v>pune</v>
      </c>
      <c r="O231" s="3" t="str">
        <f t="shared" si="32"/>
        <v>PUNE</v>
      </c>
      <c r="P231" s="3" t="str">
        <f t="shared" si="33"/>
        <v>Pune</v>
      </c>
      <c r="Q231" s="3">
        <f t="shared" si="34"/>
        <v>1.7320508075688772</v>
      </c>
    </row>
    <row r="232" spans="1:17">
      <c r="A232" t="s">
        <v>265</v>
      </c>
      <c r="B232" s="1">
        <v>45295</v>
      </c>
      <c r="C232" t="s">
        <v>32</v>
      </c>
      <c r="D232" t="s">
        <v>19</v>
      </c>
      <c r="E232" t="s">
        <v>27</v>
      </c>
      <c r="F232">
        <v>18</v>
      </c>
      <c r="G232">
        <v>519.29999999999995</v>
      </c>
      <c r="H232">
        <v>9347.4</v>
      </c>
      <c r="I232" t="str">
        <f t="shared" si="35"/>
        <v>Bulk Order</v>
      </c>
      <c r="J232" t="str">
        <f t="shared" si="27"/>
        <v>MegaMart - Bangalore</v>
      </c>
      <c r="K232">
        <f t="shared" si="28"/>
        <v>5</v>
      </c>
      <c r="L232" t="str">
        <f t="shared" si="29"/>
        <v>Boo</v>
      </c>
      <c r="M232" s="3" t="str">
        <f t="shared" si="30"/>
        <v>RD123</v>
      </c>
      <c r="N232" s="3" t="str">
        <f t="shared" si="31"/>
        <v>bangalore</v>
      </c>
      <c r="O232" s="3" t="str">
        <f t="shared" si="32"/>
        <v>BANGALORE</v>
      </c>
      <c r="P232" s="3" t="str">
        <f t="shared" si="33"/>
        <v>Bangalore</v>
      </c>
      <c r="Q232" s="3">
        <f t="shared" si="34"/>
        <v>4.2426406871192848</v>
      </c>
    </row>
    <row r="233" spans="1:17">
      <c r="A233" t="s">
        <v>266</v>
      </c>
      <c r="B233" s="1">
        <v>45328</v>
      </c>
      <c r="C233" t="s">
        <v>25</v>
      </c>
      <c r="D233" t="s">
        <v>33</v>
      </c>
      <c r="E233" t="s">
        <v>44</v>
      </c>
      <c r="F233">
        <v>18</v>
      </c>
      <c r="G233">
        <v>181.22</v>
      </c>
      <c r="H233">
        <v>3261.96</v>
      </c>
      <c r="I233" t="str">
        <f t="shared" si="35"/>
        <v>Bulk Order</v>
      </c>
      <c r="J233" t="str">
        <f t="shared" si="27"/>
        <v>QuickBuy - Chennai</v>
      </c>
      <c r="K233">
        <f t="shared" si="28"/>
        <v>9</v>
      </c>
      <c r="L233" t="str">
        <f t="shared" si="29"/>
        <v>Gro</v>
      </c>
      <c r="M233" s="3" t="str">
        <f t="shared" si="30"/>
        <v>RD123</v>
      </c>
      <c r="N233" s="3" t="str">
        <f t="shared" si="31"/>
        <v>chennai</v>
      </c>
      <c r="O233" s="3" t="str">
        <f t="shared" si="32"/>
        <v>CHENNAI</v>
      </c>
      <c r="P233" s="3" t="str">
        <f t="shared" si="33"/>
        <v>Chennai</v>
      </c>
      <c r="Q233" s="3">
        <f t="shared" si="34"/>
        <v>4.2426406871192848</v>
      </c>
    </row>
    <row r="234" spans="1:17">
      <c r="A234" t="s">
        <v>267</v>
      </c>
      <c r="B234" s="1">
        <v>45654</v>
      </c>
      <c r="C234" t="s">
        <v>32</v>
      </c>
      <c r="D234" t="s">
        <v>19</v>
      </c>
      <c r="E234" t="s">
        <v>20</v>
      </c>
      <c r="F234">
        <v>10</v>
      </c>
      <c r="G234">
        <v>1208.19</v>
      </c>
      <c r="H234">
        <v>12081.9</v>
      </c>
      <c r="I234" t="str">
        <f t="shared" si="35"/>
        <v>Normal Order</v>
      </c>
      <c r="J234" t="str">
        <f t="shared" si="27"/>
        <v>MegaMart - Bangalore</v>
      </c>
      <c r="K234">
        <f t="shared" si="28"/>
        <v>11</v>
      </c>
      <c r="L234" t="str">
        <f t="shared" si="29"/>
        <v>Ele</v>
      </c>
      <c r="M234" s="3" t="str">
        <f t="shared" si="30"/>
        <v>RD123</v>
      </c>
      <c r="N234" s="3" t="str">
        <f t="shared" si="31"/>
        <v>bangalore</v>
      </c>
      <c r="O234" s="3" t="str">
        <f t="shared" si="32"/>
        <v>BANGALORE</v>
      </c>
      <c r="P234" s="3" t="str">
        <f t="shared" si="33"/>
        <v>Bangalore</v>
      </c>
      <c r="Q234" s="3">
        <f t="shared" si="34"/>
        <v>3.1622776601683795</v>
      </c>
    </row>
    <row r="235" spans="1:17">
      <c r="A235" t="s">
        <v>268</v>
      </c>
      <c r="B235" s="1">
        <v>45615</v>
      </c>
      <c r="C235" t="s">
        <v>18</v>
      </c>
      <c r="D235" t="s">
        <v>42</v>
      </c>
      <c r="E235" t="s">
        <v>30</v>
      </c>
      <c r="F235">
        <v>10</v>
      </c>
      <c r="G235">
        <v>920.56</v>
      </c>
      <c r="H235">
        <v>9205.5999999999985</v>
      </c>
      <c r="I235" t="str">
        <f t="shared" si="35"/>
        <v>Normal Order</v>
      </c>
      <c r="J235" t="str">
        <f t="shared" si="27"/>
        <v>ValueShop - Pune</v>
      </c>
      <c r="K235">
        <f t="shared" si="28"/>
        <v>14</v>
      </c>
      <c r="L235" t="str">
        <f t="shared" si="29"/>
        <v>Hom</v>
      </c>
      <c r="M235" s="3" t="str">
        <f t="shared" si="30"/>
        <v>RD123</v>
      </c>
      <c r="N235" s="3" t="str">
        <f t="shared" si="31"/>
        <v>pune</v>
      </c>
      <c r="O235" s="3" t="str">
        <f t="shared" si="32"/>
        <v>PUNE</v>
      </c>
      <c r="P235" s="3" t="str">
        <f t="shared" si="33"/>
        <v>Pune</v>
      </c>
      <c r="Q235" s="3">
        <f t="shared" si="34"/>
        <v>3.1622776601683795</v>
      </c>
    </row>
    <row r="236" spans="1:17">
      <c r="A236" t="s">
        <v>269</v>
      </c>
      <c r="B236" s="1">
        <v>45322</v>
      </c>
      <c r="C236" t="s">
        <v>25</v>
      </c>
      <c r="D236" t="s">
        <v>26</v>
      </c>
      <c r="E236" t="s">
        <v>27</v>
      </c>
      <c r="F236">
        <v>6</v>
      </c>
      <c r="G236">
        <v>1360.45</v>
      </c>
      <c r="H236">
        <v>8162.7000000000007</v>
      </c>
      <c r="I236" t="str">
        <f t="shared" si="35"/>
        <v>Normal Order</v>
      </c>
      <c r="J236" t="str">
        <f t="shared" si="27"/>
        <v>QuickBuy - Delhi</v>
      </c>
      <c r="K236">
        <f t="shared" si="28"/>
        <v>5</v>
      </c>
      <c r="L236" t="str">
        <f t="shared" si="29"/>
        <v>Boo</v>
      </c>
      <c r="M236" s="3" t="str">
        <f t="shared" si="30"/>
        <v>RD123</v>
      </c>
      <c r="N236" s="3" t="str">
        <f t="shared" si="31"/>
        <v>delhi</v>
      </c>
      <c r="O236" s="3" t="str">
        <f t="shared" si="32"/>
        <v>DELHI</v>
      </c>
      <c r="P236" s="3" t="str">
        <f t="shared" si="33"/>
        <v>Delhi</v>
      </c>
      <c r="Q236" s="3">
        <f t="shared" si="34"/>
        <v>2.4494897427831779</v>
      </c>
    </row>
    <row r="237" spans="1:17">
      <c r="A237" t="s">
        <v>270</v>
      </c>
      <c r="B237" s="1">
        <v>45409</v>
      </c>
      <c r="C237" t="s">
        <v>39</v>
      </c>
      <c r="D237" t="s">
        <v>29</v>
      </c>
      <c r="E237" t="s">
        <v>20</v>
      </c>
      <c r="F237">
        <v>6</v>
      </c>
      <c r="G237">
        <v>1750.81</v>
      </c>
      <c r="H237">
        <v>10504.86</v>
      </c>
      <c r="I237" t="str">
        <f t="shared" si="35"/>
        <v>Normal Order</v>
      </c>
      <c r="J237" t="str">
        <f t="shared" si="27"/>
        <v>Trendz - Kolkata</v>
      </c>
      <c r="K237">
        <f t="shared" si="28"/>
        <v>11</v>
      </c>
      <c r="L237" t="str">
        <f t="shared" si="29"/>
        <v>Ele</v>
      </c>
      <c r="M237" s="3" t="str">
        <f t="shared" si="30"/>
        <v>RD123</v>
      </c>
      <c r="N237" s="3" t="str">
        <f t="shared" si="31"/>
        <v>kolkata</v>
      </c>
      <c r="O237" s="3" t="str">
        <f t="shared" si="32"/>
        <v>KOLKATA</v>
      </c>
      <c r="P237" s="3" t="str">
        <f t="shared" si="33"/>
        <v>Kolkata</v>
      </c>
      <c r="Q237" s="3">
        <f t="shared" si="34"/>
        <v>2.4494897427831779</v>
      </c>
    </row>
    <row r="238" spans="1:17">
      <c r="A238" t="s">
        <v>271</v>
      </c>
      <c r="B238" s="1">
        <v>45326</v>
      </c>
      <c r="C238" t="s">
        <v>39</v>
      </c>
      <c r="D238" t="s">
        <v>33</v>
      </c>
      <c r="E238" t="s">
        <v>30</v>
      </c>
      <c r="F238">
        <v>12</v>
      </c>
      <c r="G238">
        <v>527.23</v>
      </c>
      <c r="H238">
        <v>6326.76</v>
      </c>
      <c r="I238" t="str">
        <f t="shared" si="35"/>
        <v>Bulk Order</v>
      </c>
      <c r="J238" t="str">
        <f t="shared" si="27"/>
        <v>Trendz - Chennai</v>
      </c>
      <c r="K238">
        <f t="shared" si="28"/>
        <v>14</v>
      </c>
      <c r="L238" t="str">
        <f t="shared" si="29"/>
        <v>Hom</v>
      </c>
      <c r="M238" s="3" t="str">
        <f t="shared" si="30"/>
        <v>RD123</v>
      </c>
      <c r="N238" s="3" t="str">
        <f t="shared" si="31"/>
        <v>chennai</v>
      </c>
      <c r="O238" s="3" t="str">
        <f t="shared" si="32"/>
        <v>CHENNAI</v>
      </c>
      <c r="P238" s="3" t="str">
        <f t="shared" si="33"/>
        <v>Chennai</v>
      </c>
      <c r="Q238" s="3">
        <f t="shared" si="34"/>
        <v>3.4641016151377544</v>
      </c>
    </row>
    <row r="239" spans="1:17">
      <c r="A239" t="s">
        <v>272</v>
      </c>
      <c r="B239" s="1">
        <v>45308</v>
      </c>
      <c r="C239" t="s">
        <v>22</v>
      </c>
      <c r="D239" t="s">
        <v>19</v>
      </c>
      <c r="E239" t="s">
        <v>20</v>
      </c>
      <c r="F239">
        <v>17</v>
      </c>
      <c r="G239">
        <v>136.26</v>
      </c>
      <c r="H239">
        <v>2316.42</v>
      </c>
      <c r="I239" t="str">
        <f t="shared" si="35"/>
        <v>Bulk Order</v>
      </c>
      <c r="J239" t="str">
        <f t="shared" si="27"/>
        <v>CityStore - Bangalore</v>
      </c>
      <c r="K239">
        <f t="shared" si="28"/>
        <v>11</v>
      </c>
      <c r="L239" t="str">
        <f t="shared" si="29"/>
        <v>Ele</v>
      </c>
      <c r="M239" s="3" t="str">
        <f t="shared" si="30"/>
        <v>RD123</v>
      </c>
      <c r="N239" s="3" t="str">
        <f t="shared" si="31"/>
        <v>bangalore</v>
      </c>
      <c r="O239" s="3" t="str">
        <f t="shared" si="32"/>
        <v>BANGALORE</v>
      </c>
      <c r="P239" s="3" t="str">
        <f t="shared" si="33"/>
        <v>Bangalore</v>
      </c>
      <c r="Q239" s="3">
        <f t="shared" si="34"/>
        <v>4.1231056256176606</v>
      </c>
    </row>
    <row r="240" spans="1:17">
      <c r="A240" t="s">
        <v>273</v>
      </c>
      <c r="B240" s="1">
        <v>45461</v>
      </c>
      <c r="C240" t="s">
        <v>32</v>
      </c>
      <c r="D240" t="s">
        <v>42</v>
      </c>
      <c r="E240" t="s">
        <v>30</v>
      </c>
      <c r="F240">
        <v>8</v>
      </c>
      <c r="G240">
        <v>905.98</v>
      </c>
      <c r="H240">
        <v>7247.84</v>
      </c>
      <c r="I240" t="str">
        <f t="shared" si="35"/>
        <v>Normal Order</v>
      </c>
      <c r="J240" t="str">
        <f t="shared" si="27"/>
        <v>MegaMart - Pune</v>
      </c>
      <c r="K240">
        <f t="shared" si="28"/>
        <v>14</v>
      </c>
      <c r="L240" t="str">
        <f t="shared" si="29"/>
        <v>Hom</v>
      </c>
      <c r="M240" s="3" t="str">
        <f t="shared" si="30"/>
        <v>RD123</v>
      </c>
      <c r="N240" s="3" t="str">
        <f t="shared" si="31"/>
        <v>pune</v>
      </c>
      <c r="O240" s="3" t="str">
        <f t="shared" si="32"/>
        <v>PUNE</v>
      </c>
      <c r="P240" s="3" t="str">
        <f t="shared" si="33"/>
        <v>Pune</v>
      </c>
      <c r="Q240" s="3">
        <f t="shared" si="34"/>
        <v>2.8284271247461903</v>
      </c>
    </row>
    <row r="241" spans="1:17">
      <c r="A241" t="s">
        <v>274</v>
      </c>
      <c r="B241" s="1">
        <v>45328</v>
      </c>
      <c r="C241" t="s">
        <v>25</v>
      </c>
      <c r="D241" t="s">
        <v>37</v>
      </c>
      <c r="E241" t="s">
        <v>20</v>
      </c>
      <c r="F241">
        <v>4</v>
      </c>
      <c r="G241">
        <v>1102.53</v>
      </c>
      <c r="H241">
        <v>4410.12</v>
      </c>
      <c r="I241" t="str">
        <f t="shared" si="35"/>
        <v>Normal Order</v>
      </c>
      <c r="J241" t="str">
        <f t="shared" si="27"/>
        <v>QuickBuy - Hyderabad</v>
      </c>
      <c r="K241">
        <f t="shared" si="28"/>
        <v>11</v>
      </c>
      <c r="L241" t="str">
        <f t="shared" si="29"/>
        <v>Ele</v>
      </c>
      <c r="M241" s="3" t="str">
        <f t="shared" si="30"/>
        <v>RD123</v>
      </c>
      <c r="N241" s="3" t="str">
        <f t="shared" si="31"/>
        <v>hyderabad</v>
      </c>
      <c r="O241" s="3" t="str">
        <f t="shared" si="32"/>
        <v>HYDERABAD</v>
      </c>
      <c r="P241" s="3" t="str">
        <f t="shared" si="33"/>
        <v>Hyderabad</v>
      </c>
      <c r="Q241" s="3">
        <f t="shared" si="34"/>
        <v>2</v>
      </c>
    </row>
    <row r="242" spans="1:17">
      <c r="A242" t="s">
        <v>275</v>
      </c>
      <c r="B242" s="1">
        <v>45555</v>
      </c>
      <c r="C242" t="s">
        <v>22</v>
      </c>
      <c r="D242" t="s">
        <v>50</v>
      </c>
      <c r="E242" t="s">
        <v>44</v>
      </c>
      <c r="F242">
        <v>7</v>
      </c>
      <c r="G242">
        <v>1521.05</v>
      </c>
      <c r="H242">
        <v>10647.35</v>
      </c>
      <c r="I242" t="str">
        <f t="shared" si="35"/>
        <v>Normal Order</v>
      </c>
      <c r="J242" t="str">
        <f t="shared" si="27"/>
        <v>CityStore - Mumbai</v>
      </c>
      <c r="K242">
        <f t="shared" si="28"/>
        <v>9</v>
      </c>
      <c r="L242" t="str">
        <f t="shared" si="29"/>
        <v>Gro</v>
      </c>
      <c r="M242" s="3" t="str">
        <f t="shared" si="30"/>
        <v>RD124</v>
      </c>
      <c r="N242" s="3" t="str">
        <f t="shared" si="31"/>
        <v>mumbai</v>
      </c>
      <c r="O242" s="3" t="str">
        <f t="shared" si="32"/>
        <v>MUMBAI</v>
      </c>
      <c r="P242" s="3" t="str">
        <f t="shared" si="33"/>
        <v>Mumbai</v>
      </c>
      <c r="Q242" s="3">
        <f t="shared" si="34"/>
        <v>2.6457513110645907</v>
      </c>
    </row>
    <row r="243" spans="1:17">
      <c r="A243" t="s">
        <v>276</v>
      </c>
      <c r="B243" s="1">
        <v>45413</v>
      </c>
      <c r="C243" t="s">
        <v>32</v>
      </c>
      <c r="D243" t="s">
        <v>26</v>
      </c>
      <c r="E243" t="s">
        <v>34</v>
      </c>
      <c r="F243">
        <v>5</v>
      </c>
      <c r="G243">
        <v>1563.32</v>
      </c>
      <c r="H243">
        <v>7816.5999999999995</v>
      </c>
      <c r="I243" t="str">
        <f t="shared" si="35"/>
        <v>Normal Order</v>
      </c>
      <c r="J243" t="str">
        <f t="shared" si="27"/>
        <v>MegaMart - Delhi</v>
      </c>
      <c r="K243">
        <f t="shared" si="28"/>
        <v>4</v>
      </c>
      <c r="L243" t="str">
        <f t="shared" si="29"/>
        <v>Toy</v>
      </c>
      <c r="M243" s="3" t="str">
        <f t="shared" si="30"/>
        <v>RD124</v>
      </c>
      <c r="N243" s="3" t="str">
        <f t="shared" si="31"/>
        <v>delhi</v>
      </c>
      <c r="O243" s="3" t="str">
        <f t="shared" si="32"/>
        <v>DELHI</v>
      </c>
      <c r="P243" s="3" t="str">
        <f t="shared" si="33"/>
        <v>Delhi</v>
      </c>
      <c r="Q243" s="3">
        <f t="shared" si="34"/>
        <v>2.2360679774997898</v>
      </c>
    </row>
    <row r="244" spans="1:17">
      <c r="A244" t="s">
        <v>277</v>
      </c>
      <c r="B244" s="1">
        <v>45434</v>
      </c>
      <c r="C244" t="s">
        <v>18</v>
      </c>
      <c r="D244" t="s">
        <v>33</v>
      </c>
      <c r="E244" t="s">
        <v>30</v>
      </c>
      <c r="F244">
        <v>8</v>
      </c>
      <c r="G244">
        <v>323.26</v>
      </c>
      <c r="H244">
        <v>2586.08</v>
      </c>
      <c r="I244" t="str">
        <f t="shared" si="35"/>
        <v>Normal Order</v>
      </c>
      <c r="J244" t="str">
        <f t="shared" si="27"/>
        <v>ValueShop - Chennai</v>
      </c>
      <c r="K244">
        <f t="shared" si="28"/>
        <v>14</v>
      </c>
      <c r="L244" t="str">
        <f t="shared" si="29"/>
        <v>Hom</v>
      </c>
      <c r="M244" s="3" t="str">
        <f t="shared" si="30"/>
        <v>RD124</v>
      </c>
      <c r="N244" s="3" t="str">
        <f t="shared" si="31"/>
        <v>chennai</v>
      </c>
      <c r="O244" s="3" t="str">
        <f t="shared" si="32"/>
        <v>CHENNAI</v>
      </c>
      <c r="P244" s="3" t="str">
        <f t="shared" si="33"/>
        <v>Chennai</v>
      </c>
      <c r="Q244" s="3">
        <f t="shared" si="34"/>
        <v>2.8284271247461903</v>
      </c>
    </row>
    <row r="245" spans="1:17">
      <c r="A245" t="s">
        <v>278</v>
      </c>
      <c r="B245" s="1">
        <v>45634</v>
      </c>
      <c r="C245" t="s">
        <v>25</v>
      </c>
      <c r="D245" t="s">
        <v>19</v>
      </c>
      <c r="E245" t="s">
        <v>34</v>
      </c>
      <c r="F245">
        <v>16</v>
      </c>
      <c r="G245">
        <v>1987.29</v>
      </c>
      <c r="H245">
        <v>31796.639999999999</v>
      </c>
      <c r="I245" t="str">
        <f t="shared" si="35"/>
        <v>Bulk Order</v>
      </c>
      <c r="J245" t="str">
        <f t="shared" si="27"/>
        <v>QuickBuy - Bangalore</v>
      </c>
      <c r="K245">
        <f t="shared" si="28"/>
        <v>4</v>
      </c>
      <c r="L245" t="str">
        <f t="shared" si="29"/>
        <v>Toy</v>
      </c>
      <c r="M245" s="3" t="str">
        <f t="shared" si="30"/>
        <v>RD124</v>
      </c>
      <c r="N245" s="3" t="str">
        <f t="shared" si="31"/>
        <v>bangalore</v>
      </c>
      <c r="O245" s="3" t="str">
        <f t="shared" si="32"/>
        <v>BANGALORE</v>
      </c>
      <c r="P245" s="3" t="str">
        <f t="shared" si="33"/>
        <v>Bangalore</v>
      </c>
      <c r="Q245" s="3">
        <f t="shared" si="34"/>
        <v>4</v>
      </c>
    </row>
    <row r="246" spans="1:17">
      <c r="A246" t="s">
        <v>279</v>
      </c>
      <c r="B246" s="1">
        <v>45540</v>
      </c>
      <c r="C246" t="s">
        <v>32</v>
      </c>
      <c r="D246" t="s">
        <v>37</v>
      </c>
      <c r="E246" t="s">
        <v>30</v>
      </c>
      <c r="F246">
        <v>1</v>
      </c>
      <c r="G246">
        <v>506.61</v>
      </c>
      <c r="H246">
        <v>506.61</v>
      </c>
      <c r="I246" t="str">
        <f t="shared" si="35"/>
        <v>Normal Order</v>
      </c>
      <c r="J246" t="str">
        <f t="shared" si="27"/>
        <v>MegaMart - Hyderabad</v>
      </c>
      <c r="K246">
        <f t="shared" si="28"/>
        <v>14</v>
      </c>
      <c r="L246" t="str">
        <f t="shared" si="29"/>
        <v>Hom</v>
      </c>
      <c r="M246" s="3" t="str">
        <f t="shared" si="30"/>
        <v>RD124</v>
      </c>
      <c r="N246" s="3" t="str">
        <f t="shared" si="31"/>
        <v>hyderabad</v>
      </c>
      <c r="O246" s="3" t="str">
        <f t="shared" si="32"/>
        <v>HYDERABAD</v>
      </c>
      <c r="P246" s="3" t="str">
        <f t="shared" si="33"/>
        <v>Hyderabad</v>
      </c>
      <c r="Q246" s="3">
        <f t="shared" si="34"/>
        <v>1</v>
      </c>
    </row>
    <row r="247" spans="1:17">
      <c r="A247" t="s">
        <v>280</v>
      </c>
      <c r="B247" s="1">
        <v>45401</v>
      </c>
      <c r="C247" t="s">
        <v>25</v>
      </c>
      <c r="D247" t="s">
        <v>19</v>
      </c>
      <c r="E247" t="s">
        <v>27</v>
      </c>
      <c r="F247">
        <v>12</v>
      </c>
      <c r="G247">
        <v>1836.97</v>
      </c>
      <c r="H247">
        <v>22043.64</v>
      </c>
      <c r="I247" t="str">
        <f t="shared" si="35"/>
        <v>Bulk Order</v>
      </c>
      <c r="J247" t="str">
        <f t="shared" si="27"/>
        <v>QuickBuy - Bangalore</v>
      </c>
      <c r="K247">
        <f t="shared" si="28"/>
        <v>5</v>
      </c>
      <c r="L247" t="str">
        <f t="shared" si="29"/>
        <v>Boo</v>
      </c>
      <c r="M247" s="3" t="str">
        <f t="shared" si="30"/>
        <v>RD124</v>
      </c>
      <c r="N247" s="3" t="str">
        <f t="shared" si="31"/>
        <v>bangalore</v>
      </c>
      <c r="O247" s="3" t="str">
        <f t="shared" si="32"/>
        <v>BANGALORE</v>
      </c>
      <c r="P247" s="3" t="str">
        <f t="shared" si="33"/>
        <v>Bangalore</v>
      </c>
      <c r="Q247" s="3">
        <f t="shared" si="34"/>
        <v>3.4641016151377544</v>
      </c>
    </row>
    <row r="248" spans="1:17">
      <c r="A248" t="s">
        <v>281</v>
      </c>
      <c r="B248" s="1">
        <v>45568</v>
      </c>
      <c r="C248" t="s">
        <v>32</v>
      </c>
      <c r="D248" t="s">
        <v>42</v>
      </c>
      <c r="E248" t="s">
        <v>27</v>
      </c>
      <c r="F248">
        <v>18</v>
      </c>
      <c r="G248">
        <v>1173.42</v>
      </c>
      <c r="H248">
        <v>21121.56</v>
      </c>
      <c r="I248" t="str">
        <f t="shared" si="35"/>
        <v>Bulk Order</v>
      </c>
      <c r="J248" t="str">
        <f t="shared" si="27"/>
        <v>MegaMart - Pune</v>
      </c>
      <c r="K248">
        <f t="shared" si="28"/>
        <v>5</v>
      </c>
      <c r="L248" t="str">
        <f t="shared" si="29"/>
        <v>Boo</v>
      </c>
      <c r="M248" s="3" t="str">
        <f t="shared" si="30"/>
        <v>RD124</v>
      </c>
      <c r="N248" s="3" t="str">
        <f t="shared" si="31"/>
        <v>pune</v>
      </c>
      <c r="O248" s="3" t="str">
        <f t="shared" si="32"/>
        <v>PUNE</v>
      </c>
      <c r="P248" s="3" t="str">
        <f t="shared" si="33"/>
        <v>Pune</v>
      </c>
      <c r="Q248" s="3">
        <f t="shared" si="34"/>
        <v>4.2426406871192848</v>
      </c>
    </row>
    <row r="249" spans="1:17">
      <c r="A249" t="s">
        <v>282</v>
      </c>
      <c r="B249" s="1">
        <v>45359</v>
      </c>
      <c r="C249" t="s">
        <v>18</v>
      </c>
      <c r="D249" t="s">
        <v>33</v>
      </c>
      <c r="E249" t="s">
        <v>30</v>
      </c>
      <c r="F249">
        <v>19</v>
      </c>
      <c r="G249">
        <v>1176.08</v>
      </c>
      <c r="H249">
        <v>22345.52</v>
      </c>
      <c r="I249" t="str">
        <f t="shared" si="35"/>
        <v>Bulk Order</v>
      </c>
      <c r="J249" t="str">
        <f t="shared" si="27"/>
        <v>ValueShop - Chennai</v>
      </c>
      <c r="K249">
        <f t="shared" si="28"/>
        <v>14</v>
      </c>
      <c r="L249" t="str">
        <f t="shared" si="29"/>
        <v>Hom</v>
      </c>
      <c r="M249" s="3" t="str">
        <f t="shared" si="30"/>
        <v>RD124</v>
      </c>
      <c r="N249" s="3" t="str">
        <f t="shared" si="31"/>
        <v>chennai</v>
      </c>
      <c r="O249" s="3" t="str">
        <f t="shared" si="32"/>
        <v>CHENNAI</v>
      </c>
      <c r="P249" s="3" t="str">
        <f t="shared" si="33"/>
        <v>Chennai</v>
      </c>
      <c r="Q249" s="3">
        <f t="shared" si="34"/>
        <v>4.358898943540674</v>
      </c>
    </row>
    <row r="250" spans="1:17">
      <c r="A250" t="s">
        <v>283</v>
      </c>
      <c r="B250" s="1">
        <v>45584</v>
      </c>
      <c r="C250" t="s">
        <v>25</v>
      </c>
      <c r="D250" t="s">
        <v>42</v>
      </c>
      <c r="E250" t="s">
        <v>44</v>
      </c>
      <c r="F250">
        <v>12</v>
      </c>
      <c r="G250">
        <v>1556.45</v>
      </c>
      <c r="H250">
        <v>18677.400000000001</v>
      </c>
      <c r="I250" t="str">
        <f t="shared" si="35"/>
        <v>Bulk Order</v>
      </c>
      <c r="J250" t="str">
        <f t="shared" si="27"/>
        <v>QuickBuy - Pune</v>
      </c>
      <c r="K250">
        <f t="shared" si="28"/>
        <v>9</v>
      </c>
      <c r="L250" t="str">
        <f t="shared" si="29"/>
        <v>Gro</v>
      </c>
      <c r="M250" s="3" t="str">
        <f t="shared" si="30"/>
        <v>RD124</v>
      </c>
      <c r="N250" s="3" t="str">
        <f t="shared" si="31"/>
        <v>pune</v>
      </c>
      <c r="O250" s="3" t="str">
        <f t="shared" si="32"/>
        <v>PUNE</v>
      </c>
      <c r="P250" s="3" t="str">
        <f t="shared" si="33"/>
        <v>Pune</v>
      </c>
      <c r="Q250" s="3">
        <f t="shared" si="34"/>
        <v>3.4641016151377544</v>
      </c>
    </row>
    <row r="251" spans="1:17">
      <c r="A251" t="s">
        <v>284</v>
      </c>
      <c r="B251" s="1">
        <v>45587</v>
      </c>
      <c r="C251" t="s">
        <v>39</v>
      </c>
      <c r="D251" t="s">
        <v>19</v>
      </c>
      <c r="E251" t="s">
        <v>20</v>
      </c>
      <c r="F251">
        <v>15</v>
      </c>
      <c r="G251">
        <v>1645.85</v>
      </c>
      <c r="H251">
        <v>24687.75</v>
      </c>
      <c r="I251" t="str">
        <f t="shared" si="35"/>
        <v>Bulk Order</v>
      </c>
      <c r="J251" t="str">
        <f t="shared" si="27"/>
        <v>Trendz - Bangalore</v>
      </c>
      <c r="K251">
        <f t="shared" si="28"/>
        <v>11</v>
      </c>
      <c r="L251" t="str">
        <f t="shared" si="29"/>
        <v>Ele</v>
      </c>
      <c r="M251" s="3" t="str">
        <f t="shared" si="30"/>
        <v>RD124</v>
      </c>
      <c r="N251" s="3" t="str">
        <f t="shared" si="31"/>
        <v>bangalore</v>
      </c>
      <c r="O251" s="3" t="str">
        <f t="shared" si="32"/>
        <v>BANGALORE</v>
      </c>
      <c r="P251" s="3" t="str">
        <f t="shared" si="33"/>
        <v>Bangalore</v>
      </c>
      <c r="Q251" s="3">
        <f t="shared" si="34"/>
        <v>3.872983346207417</v>
      </c>
    </row>
    <row r="252" spans="1:17">
      <c r="A252" t="s">
        <v>285</v>
      </c>
      <c r="B252" s="1">
        <v>45534</v>
      </c>
      <c r="C252" t="s">
        <v>18</v>
      </c>
      <c r="D252" t="s">
        <v>33</v>
      </c>
      <c r="E252" t="s">
        <v>30</v>
      </c>
      <c r="F252">
        <v>18</v>
      </c>
      <c r="G252">
        <v>511.96</v>
      </c>
      <c r="H252">
        <v>9215.2799999999988</v>
      </c>
      <c r="I252" t="str">
        <f t="shared" si="35"/>
        <v>Bulk Order</v>
      </c>
      <c r="J252" t="str">
        <f t="shared" si="27"/>
        <v>ValueShop - Chennai</v>
      </c>
      <c r="K252">
        <f t="shared" si="28"/>
        <v>14</v>
      </c>
      <c r="L252" t="str">
        <f t="shared" si="29"/>
        <v>Hom</v>
      </c>
      <c r="M252" s="3" t="str">
        <f t="shared" si="30"/>
        <v>RD125</v>
      </c>
      <c r="N252" s="3" t="str">
        <f t="shared" si="31"/>
        <v>chennai</v>
      </c>
      <c r="O252" s="3" t="str">
        <f t="shared" si="32"/>
        <v>CHENNAI</v>
      </c>
      <c r="P252" s="3" t="str">
        <f t="shared" si="33"/>
        <v>Chennai</v>
      </c>
      <c r="Q252" s="3">
        <f t="shared" si="34"/>
        <v>4.2426406871192848</v>
      </c>
    </row>
    <row r="253" spans="1:17">
      <c r="A253" t="s">
        <v>286</v>
      </c>
      <c r="B253" s="1">
        <v>45416</v>
      </c>
      <c r="C253" t="s">
        <v>32</v>
      </c>
      <c r="D253" t="s">
        <v>29</v>
      </c>
      <c r="E253" t="s">
        <v>20</v>
      </c>
      <c r="F253">
        <v>5</v>
      </c>
      <c r="G253">
        <v>1758.7</v>
      </c>
      <c r="H253">
        <v>8793.5</v>
      </c>
      <c r="I253" t="str">
        <f t="shared" si="35"/>
        <v>Normal Order</v>
      </c>
      <c r="J253" t="str">
        <f t="shared" si="27"/>
        <v>MegaMart - Kolkata</v>
      </c>
      <c r="K253">
        <f t="shared" si="28"/>
        <v>11</v>
      </c>
      <c r="L253" t="str">
        <f t="shared" si="29"/>
        <v>Ele</v>
      </c>
      <c r="M253" s="3" t="str">
        <f t="shared" si="30"/>
        <v>RD125</v>
      </c>
      <c r="N253" s="3" t="str">
        <f t="shared" si="31"/>
        <v>kolkata</v>
      </c>
      <c r="O253" s="3" t="str">
        <f t="shared" si="32"/>
        <v>KOLKATA</v>
      </c>
      <c r="P253" s="3" t="str">
        <f t="shared" si="33"/>
        <v>Kolkata</v>
      </c>
      <c r="Q253" s="3">
        <f t="shared" si="34"/>
        <v>2.2360679774997898</v>
      </c>
    </row>
    <row r="254" spans="1:17">
      <c r="A254" t="s">
        <v>287</v>
      </c>
      <c r="B254" s="1">
        <v>45534</v>
      </c>
      <c r="C254" t="s">
        <v>25</v>
      </c>
      <c r="D254" t="s">
        <v>19</v>
      </c>
      <c r="E254" t="s">
        <v>44</v>
      </c>
      <c r="F254">
        <v>20</v>
      </c>
      <c r="G254">
        <v>1972.11</v>
      </c>
      <c r="H254">
        <v>39442.199999999997</v>
      </c>
      <c r="I254" t="str">
        <f t="shared" si="35"/>
        <v>Bulk Order</v>
      </c>
      <c r="J254" t="str">
        <f t="shared" si="27"/>
        <v>QuickBuy - Bangalore</v>
      </c>
      <c r="K254">
        <f t="shared" si="28"/>
        <v>9</v>
      </c>
      <c r="L254" t="str">
        <f t="shared" si="29"/>
        <v>Gro</v>
      </c>
      <c r="M254" s="3" t="str">
        <f t="shared" si="30"/>
        <v>RD125</v>
      </c>
      <c r="N254" s="3" t="str">
        <f t="shared" si="31"/>
        <v>bangalore</v>
      </c>
      <c r="O254" s="3" t="str">
        <f t="shared" si="32"/>
        <v>BANGALORE</v>
      </c>
      <c r="P254" s="3" t="str">
        <f t="shared" si="33"/>
        <v>Bangalore</v>
      </c>
      <c r="Q254" s="3">
        <f t="shared" si="34"/>
        <v>4.4721359549995796</v>
      </c>
    </row>
    <row r="255" spans="1:17">
      <c r="A255" t="s">
        <v>288</v>
      </c>
      <c r="B255" s="1">
        <v>45500</v>
      </c>
      <c r="C255" t="s">
        <v>18</v>
      </c>
      <c r="D255" t="s">
        <v>50</v>
      </c>
      <c r="E255" t="s">
        <v>23</v>
      </c>
      <c r="F255">
        <v>3</v>
      </c>
      <c r="G255">
        <v>1066.44</v>
      </c>
      <c r="H255">
        <v>3199.32</v>
      </c>
      <c r="I255" t="str">
        <f t="shared" si="35"/>
        <v>Normal Order</v>
      </c>
      <c r="J255" t="str">
        <f t="shared" si="27"/>
        <v>ValueShop - Mumbai</v>
      </c>
      <c r="K255">
        <f t="shared" si="28"/>
        <v>8</v>
      </c>
      <c r="L255" t="str">
        <f t="shared" si="29"/>
        <v>Clo</v>
      </c>
      <c r="M255" s="3" t="str">
        <f t="shared" si="30"/>
        <v>RD125</v>
      </c>
      <c r="N255" s="3" t="str">
        <f t="shared" si="31"/>
        <v>mumbai</v>
      </c>
      <c r="O255" s="3" t="str">
        <f t="shared" si="32"/>
        <v>MUMBAI</v>
      </c>
      <c r="P255" s="3" t="str">
        <f t="shared" si="33"/>
        <v>Mumbai</v>
      </c>
      <c r="Q255" s="3">
        <f t="shared" si="34"/>
        <v>1.7320508075688772</v>
      </c>
    </row>
    <row r="256" spans="1:17">
      <c r="A256" t="s">
        <v>289</v>
      </c>
      <c r="B256" s="1">
        <v>45389</v>
      </c>
      <c r="C256" t="s">
        <v>32</v>
      </c>
      <c r="D256" t="s">
        <v>33</v>
      </c>
      <c r="E256" t="s">
        <v>34</v>
      </c>
      <c r="F256">
        <v>3</v>
      </c>
      <c r="G256">
        <v>856.44</v>
      </c>
      <c r="H256">
        <v>2569.3200000000002</v>
      </c>
      <c r="I256" t="str">
        <f t="shared" si="35"/>
        <v>Normal Order</v>
      </c>
      <c r="J256" t="str">
        <f t="shared" si="27"/>
        <v>MegaMart - Chennai</v>
      </c>
      <c r="K256">
        <f t="shared" si="28"/>
        <v>4</v>
      </c>
      <c r="L256" t="str">
        <f t="shared" si="29"/>
        <v>Toy</v>
      </c>
      <c r="M256" s="3" t="str">
        <f t="shared" si="30"/>
        <v>RD125</v>
      </c>
      <c r="N256" s="3" t="str">
        <f t="shared" si="31"/>
        <v>chennai</v>
      </c>
      <c r="O256" s="3" t="str">
        <f t="shared" si="32"/>
        <v>CHENNAI</v>
      </c>
      <c r="P256" s="3" t="str">
        <f t="shared" si="33"/>
        <v>Chennai</v>
      </c>
      <c r="Q256" s="3">
        <f t="shared" si="34"/>
        <v>1.7320508075688772</v>
      </c>
    </row>
    <row r="257" spans="1:17">
      <c r="A257" t="s">
        <v>290</v>
      </c>
      <c r="B257" s="1">
        <v>45340</v>
      </c>
      <c r="C257" t="s">
        <v>39</v>
      </c>
      <c r="D257" t="s">
        <v>29</v>
      </c>
      <c r="E257" t="s">
        <v>30</v>
      </c>
      <c r="F257">
        <v>10</v>
      </c>
      <c r="G257">
        <v>586.54999999999995</v>
      </c>
      <c r="H257">
        <v>5865.5</v>
      </c>
      <c r="I257" t="str">
        <f t="shared" si="35"/>
        <v>Normal Order</v>
      </c>
      <c r="J257" t="str">
        <f t="shared" si="27"/>
        <v>Trendz - Kolkata</v>
      </c>
      <c r="K257">
        <f t="shared" si="28"/>
        <v>14</v>
      </c>
      <c r="L257" t="str">
        <f t="shared" si="29"/>
        <v>Hom</v>
      </c>
      <c r="M257" s="3" t="str">
        <f t="shared" si="30"/>
        <v>RD125</v>
      </c>
      <c r="N257" s="3" t="str">
        <f t="shared" si="31"/>
        <v>kolkata</v>
      </c>
      <c r="O257" s="3" t="str">
        <f t="shared" si="32"/>
        <v>KOLKATA</v>
      </c>
      <c r="P257" s="3" t="str">
        <f t="shared" si="33"/>
        <v>Kolkata</v>
      </c>
      <c r="Q257" s="3">
        <f t="shared" si="34"/>
        <v>3.1622776601683795</v>
      </c>
    </row>
    <row r="258" spans="1:17">
      <c r="A258" t="s">
        <v>291</v>
      </c>
      <c r="B258" s="1">
        <v>45341</v>
      </c>
      <c r="C258" t="s">
        <v>39</v>
      </c>
      <c r="D258" t="s">
        <v>33</v>
      </c>
      <c r="E258" t="s">
        <v>27</v>
      </c>
      <c r="F258">
        <v>13</v>
      </c>
      <c r="G258">
        <v>1135.5999999999999</v>
      </c>
      <c r="H258">
        <v>14762.8</v>
      </c>
      <c r="I258" t="str">
        <f t="shared" si="35"/>
        <v>Bulk Order</v>
      </c>
      <c r="J258" t="str">
        <f t="shared" ref="J258:J321" si="36">_xlfn.CONCAT(C258, " - ", D258)</f>
        <v>Trendz - Chennai</v>
      </c>
      <c r="K258">
        <f t="shared" ref="K258:K321" si="37">LEN(E258)</f>
        <v>5</v>
      </c>
      <c r="L258" t="str">
        <f t="shared" ref="L258:L321" si="38">LEFT(E258, 3)</f>
        <v>Boo</v>
      </c>
      <c r="M258" s="3" t="str">
        <f t="shared" ref="M258:M321" si="39">MID(A258, 2, 5)</f>
        <v>RD125</v>
      </c>
      <c r="N258" s="3" t="str">
        <f t="shared" ref="N258:N321" si="40">LOWER(D258)</f>
        <v>chennai</v>
      </c>
      <c r="O258" s="3" t="str">
        <f t="shared" ref="O258:O321" si="41">UPPER(D258)</f>
        <v>CHENNAI</v>
      </c>
      <c r="P258" s="3" t="str">
        <f t="shared" ref="P258:P321" si="42">PROPER(D258)</f>
        <v>Chennai</v>
      </c>
      <c r="Q258" s="3">
        <f t="shared" ref="Q258:Q321" si="43">SQRT(F258)</f>
        <v>3.6055512754639891</v>
      </c>
    </row>
    <row r="259" spans="1:17">
      <c r="A259" t="s">
        <v>292</v>
      </c>
      <c r="B259" s="1">
        <v>45629</v>
      </c>
      <c r="C259" t="s">
        <v>32</v>
      </c>
      <c r="D259" t="s">
        <v>26</v>
      </c>
      <c r="E259" t="s">
        <v>44</v>
      </c>
      <c r="F259">
        <v>16</v>
      </c>
      <c r="G259">
        <v>1203.75</v>
      </c>
      <c r="H259">
        <v>19260</v>
      </c>
      <c r="I259" t="str">
        <f t="shared" ref="I259:I322" si="44">IF(F259&gt;10,"Bulk Order","Normal Order")</f>
        <v>Bulk Order</v>
      </c>
      <c r="J259" t="str">
        <f t="shared" si="36"/>
        <v>MegaMart - Delhi</v>
      </c>
      <c r="K259">
        <f t="shared" si="37"/>
        <v>9</v>
      </c>
      <c r="L259" t="str">
        <f t="shared" si="38"/>
        <v>Gro</v>
      </c>
      <c r="M259" s="3" t="str">
        <f t="shared" si="39"/>
        <v>RD125</v>
      </c>
      <c r="N259" s="3" t="str">
        <f t="shared" si="40"/>
        <v>delhi</v>
      </c>
      <c r="O259" s="3" t="str">
        <f t="shared" si="41"/>
        <v>DELHI</v>
      </c>
      <c r="P259" s="3" t="str">
        <f t="shared" si="42"/>
        <v>Delhi</v>
      </c>
      <c r="Q259" s="3">
        <f t="shared" si="43"/>
        <v>4</v>
      </c>
    </row>
    <row r="260" spans="1:17">
      <c r="A260" t="s">
        <v>293</v>
      </c>
      <c r="B260" s="1">
        <v>45512</v>
      </c>
      <c r="C260" t="s">
        <v>39</v>
      </c>
      <c r="D260" t="s">
        <v>50</v>
      </c>
      <c r="E260" t="s">
        <v>20</v>
      </c>
      <c r="F260">
        <v>17</v>
      </c>
      <c r="G260">
        <v>1483.66</v>
      </c>
      <c r="H260">
        <v>25222.22</v>
      </c>
      <c r="I260" t="str">
        <f t="shared" si="44"/>
        <v>Bulk Order</v>
      </c>
      <c r="J260" t="str">
        <f t="shared" si="36"/>
        <v>Trendz - Mumbai</v>
      </c>
      <c r="K260">
        <f t="shared" si="37"/>
        <v>11</v>
      </c>
      <c r="L260" t="str">
        <f t="shared" si="38"/>
        <v>Ele</v>
      </c>
      <c r="M260" s="3" t="str">
        <f t="shared" si="39"/>
        <v>RD125</v>
      </c>
      <c r="N260" s="3" t="str">
        <f t="shared" si="40"/>
        <v>mumbai</v>
      </c>
      <c r="O260" s="3" t="str">
        <f t="shared" si="41"/>
        <v>MUMBAI</v>
      </c>
      <c r="P260" s="3" t="str">
        <f t="shared" si="42"/>
        <v>Mumbai</v>
      </c>
      <c r="Q260" s="3">
        <f t="shared" si="43"/>
        <v>4.1231056256176606</v>
      </c>
    </row>
    <row r="261" spans="1:17">
      <c r="A261" t="s">
        <v>294</v>
      </c>
      <c r="B261" s="1">
        <v>45473</v>
      </c>
      <c r="C261" t="s">
        <v>18</v>
      </c>
      <c r="D261" t="s">
        <v>33</v>
      </c>
      <c r="E261" t="s">
        <v>30</v>
      </c>
      <c r="F261">
        <v>14</v>
      </c>
      <c r="G261">
        <v>391.51</v>
      </c>
      <c r="H261">
        <v>5481.1399999999994</v>
      </c>
      <c r="I261" t="str">
        <f t="shared" si="44"/>
        <v>Bulk Order</v>
      </c>
      <c r="J261" t="str">
        <f t="shared" si="36"/>
        <v>ValueShop - Chennai</v>
      </c>
      <c r="K261">
        <f t="shared" si="37"/>
        <v>14</v>
      </c>
      <c r="L261" t="str">
        <f t="shared" si="38"/>
        <v>Hom</v>
      </c>
      <c r="M261" s="3" t="str">
        <f t="shared" si="39"/>
        <v>RD125</v>
      </c>
      <c r="N261" s="3" t="str">
        <f t="shared" si="40"/>
        <v>chennai</v>
      </c>
      <c r="O261" s="3" t="str">
        <f t="shared" si="41"/>
        <v>CHENNAI</v>
      </c>
      <c r="P261" s="3" t="str">
        <f t="shared" si="42"/>
        <v>Chennai</v>
      </c>
      <c r="Q261" s="3">
        <f t="shared" si="43"/>
        <v>3.7416573867739413</v>
      </c>
    </row>
    <row r="262" spans="1:17">
      <c r="A262" t="s">
        <v>295</v>
      </c>
      <c r="B262" s="1">
        <v>45508</v>
      </c>
      <c r="C262" t="s">
        <v>39</v>
      </c>
      <c r="D262" t="s">
        <v>37</v>
      </c>
      <c r="E262" t="s">
        <v>20</v>
      </c>
      <c r="F262">
        <v>14</v>
      </c>
      <c r="G262">
        <v>1373.56</v>
      </c>
      <c r="H262">
        <v>19229.84</v>
      </c>
      <c r="I262" t="str">
        <f t="shared" si="44"/>
        <v>Bulk Order</v>
      </c>
      <c r="J262" t="str">
        <f t="shared" si="36"/>
        <v>Trendz - Hyderabad</v>
      </c>
      <c r="K262">
        <f t="shared" si="37"/>
        <v>11</v>
      </c>
      <c r="L262" t="str">
        <f t="shared" si="38"/>
        <v>Ele</v>
      </c>
      <c r="M262" s="3" t="str">
        <f t="shared" si="39"/>
        <v>RD126</v>
      </c>
      <c r="N262" s="3" t="str">
        <f t="shared" si="40"/>
        <v>hyderabad</v>
      </c>
      <c r="O262" s="3" t="str">
        <f t="shared" si="41"/>
        <v>HYDERABAD</v>
      </c>
      <c r="P262" s="3" t="str">
        <f t="shared" si="42"/>
        <v>Hyderabad</v>
      </c>
      <c r="Q262" s="3">
        <f t="shared" si="43"/>
        <v>3.7416573867739413</v>
      </c>
    </row>
    <row r="263" spans="1:17">
      <c r="A263" t="s">
        <v>296</v>
      </c>
      <c r="B263" s="1">
        <v>45502</v>
      </c>
      <c r="C263" t="s">
        <v>22</v>
      </c>
      <c r="D263" t="s">
        <v>19</v>
      </c>
      <c r="E263" t="s">
        <v>23</v>
      </c>
      <c r="F263">
        <v>19</v>
      </c>
      <c r="G263">
        <v>1133.9100000000001</v>
      </c>
      <c r="H263">
        <v>21544.29</v>
      </c>
      <c r="I263" t="str">
        <f t="shared" si="44"/>
        <v>Bulk Order</v>
      </c>
      <c r="J263" t="str">
        <f t="shared" si="36"/>
        <v>CityStore - Bangalore</v>
      </c>
      <c r="K263">
        <f t="shared" si="37"/>
        <v>8</v>
      </c>
      <c r="L263" t="str">
        <f t="shared" si="38"/>
        <v>Clo</v>
      </c>
      <c r="M263" s="3" t="str">
        <f t="shared" si="39"/>
        <v>RD126</v>
      </c>
      <c r="N263" s="3" t="str">
        <f t="shared" si="40"/>
        <v>bangalore</v>
      </c>
      <c r="O263" s="3" t="str">
        <f t="shared" si="41"/>
        <v>BANGALORE</v>
      </c>
      <c r="P263" s="3" t="str">
        <f t="shared" si="42"/>
        <v>Bangalore</v>
      </c>
      <c r="Q263" s="3">
        <f t="shared" si="43"/>
        <v>4.358898943540674</v>
      </c>
    </row>
    <row r="264" spans="1:17">
      <c r="A264" t="s">
        <v>297</v>
      </c>
      <c r="B264" s="1">
        <v>45531</v>
      </c>
      <c r="C264" t="s">
        <v>39</v>
      </c>
      <c r="D264" t="s">
        <v>37</v>
      </c>
      <c r="E264" t="s">
        <v>30</v>
      </c>
      <c r="F264">
        <v>3</v>
      </c>
      <c r="G264">
        <v>141.41999999999999</v>
      </c>
      <c r="H264">
        <v>424.26</v>
      </c>
      <c r="I264" t="str">
        <f t="shared" si="44"/>
        <v>Normal Order</v>
      </c>
      <c r="J264" t="str">
        <f t="shared" si="36"/>
        <v>Trendz - Hyderabad</v>
      </c>
      <c r="K264">
        <f t="shared" si="37"/>
        <v>14</v>
      </c>
      <c r="L264" t="str">
        <f t="shared" si="38"/>
        <v>Hom</v>
      </c>
      <c r="M264" s="3" t="str">
        <f t="shared" si="39"/>
        <v>RD126</v>
      </c>
      <c r="N264" s="3" t="str">
        <f t="shared" si="40"/>
        <v>hyderabad</v>
      </c>
      <c r="O264" s="3" t="str">
        <f t="shared" si="41"/>
        <v>HYDERABAD</v>
      </c>
      <c r="P264" s="3" t="str">
        <f t="shared" si="42"/>
        <v>Hyderabad</v>
      </c>
      <c r="Q264" s="3">
        <f t="shared" si="43"/>
        <v>1.7320508075688772</v>
      </c>
    </row>
    <row r="265" spans="1:17">
      <c r="A265" t="s">
        <v>298</v>
      </c>
      <c r="B265" s="1">
        <v>45319</v>
      </c>
      <c r="C265" t="s">
        <v>22</v>
      </c>
      <c r="D265" t="s">
        <v>19</v>
      </c>
      <c r="E265" t="s">
        <v>34</v>
      </c>
      <c r="F265">
        <v>5</v>
      </c>
      <c r="G265">
        <v>721.61</v>
      </c>
      <c r="H265">
        <v>3608.05</v>
      </c>
      <c r="I265" t="str">
        <f t="shared" si="44"/>
        <v>Normal Order</v>
      </c>
      <c r="J265" t="str">
        <f t="shared" si="36"/>
        <v>CityStore - Bangalore</v>
      </c>
      <c r="K265">
        <f t="shared" si="37"/>
        <v>4</v>
      </c>
      <c r="L265" t="str">
        <f t="shared" si="38"/>
        <v>Toy</v>
      </c>
      <c r="M265" s="3" t="str">
        <f t="shared" si="39"/>
        <v>RD126</v>
      </c>
      <c r="N265" s="3" t="str">
        <f t="shared" si="40"/>
        <v>bangalore</v>
      </c>
      <c r="O265" s="3" t="str">
        <f t="shared" si="41"/>
        <v>BANGALORE</v>
      </c>
      <c r="P265" s="3" t="str">
        <f t="shared" si="42"/>
        <v>Bangalore</v>
      </c>
      <c r="Q265" s="3">
        <f t="shared" si="43"/>
        <v>2.2360679774997898</v>
      </c>
    </row>
    <row r="266" spans="1:17">
      <c r="A266" t="s">
        <v>299</v>
      </c>
      <c r="B266" s="1">
        <v>45636</v>
      </c>
      <c r="C266" t="s">
        <v>25</v>
      </c>
      <c r="D266" t="s">
        <v>42</v>
      </c>
      <c r="E266" t="s">
        <v>30</v>
      </c>
      <c r="F266">
        <v>11</v>
      </c>
      <c r="G266">
        <v>1304.47</v>
      </c>
      <c r="H266">
        <v>14349.17</v>
      </c>
      <c r="I266" t="str">
        <f t="shared" si="44"/>
        <v>Bulk Order</v>
      </c>
      <c r="J266" t="str">
        <f t="shared" si="36"/>
        <v>QuickBuy - Pune</v>
      </c>
      <c r="K266">
        <f t="shared" si="37"/>
        <v>14</v>
      </c>
      <c r="L266" t="str">
        <f t="shared" si="38"/>
        <v>Hom</v>
      </c>
      <c r="M266" s="3" t="str">
        <f t="shared" si="39"/>
        <v>RD126</v>
      </c>
      <c r="N266" s="3" t="str">
        <f t="shared" si="40"/>
        <v>pune</v>
      </c>
      <c r="O266" s="3" t="str">
        <f t="shared" si="41"/>
        <v>PUNE</v>
      </c>
      <c r="P266" s="3" t="str">
        <f t="shared" si="42"/>
        <v>Pune</v>
      </c>
      <c r="Q266" s="3">
        <f t="shared" si="43"/>
        <v>3.3166247903553998</v>
      </c>
    </row>
    <row r="267" spans="1:17">
      <c r="A267" t="s">
        <v>300</v>
      </c>
      <c r="B267" s="1">
        <v>45626</v>
      </c>
      <c r="C267" t="s">
        <v>18</v>
      </c>
      <c r="D267" t="s">
        <v>19</v>
      </c>
      <c r="E267" t="s">
        <v>34</v>
      </c>
      <c r="F267">
        <v>3</v>
      </c>
      <c r="G267">
        <v>793.25</v>
      </c>
      <c r="H267">
        <v>2379.75</v>
      </c>
      <c r="I267" t="str">
        <f t="shared" si="44"/>
        <v>Normal Order</v>
      </c>
      <c r="J267" t="str">
        <f t="shared" si="36"/>
        <v>ValueShop - Bangalore</v>
      </c>
      <c r="K267">
        <f t="shared" si="37"/>
        <v>4</v>
      </c>
      <c r="L267" t="str">
        <f t="shared" si="38"/>
        <v>Toy</v>
      </c>
      <c r="M267" s="3" t="str">
        <f t="shared" si="39"/>
        <v>RD126</v>
      </c>
      <c r="N267" s="3" t="str">
        <f t="shared" si="40"/>
        <v>bangalore</v>
      </c>
      <c r="O267" s="3" t="str">
        <f t="shared" si="41"/>
        <v>BANGALORE</v>
      </c>
      <c r="P267" s="3" t="str">
        <f t="shared" si="42"/>
        <v>Bangalore</v>
      </c>
      <c r="Q267" s="3">
        <f t="shared" si="43"/>
        <v>1.7320508075688772</v>
      </c>
    </row>
    <row r="268" spans="1:17">
      <c r="A268" t="s">
        <v>301</v>
      </c>
      <c r="B268" s="1">
        <v>45622</v>
      </c>
      <c r="C268" t="s">
        <v>25</v>
      </c>
      <c r="D268" t="s">
        <v>26</v>
      </c>
      <c r="E268" t="s">
        <v>20</v>
      </c>
      <c r="F268">
        <v>15</v>
      </c>
      <c r="G268">
        <v>1072.7</v>
      </c>
      <c r="H268">
        <v>16090.5</v>
      </c>
      <c r="I268" t="str">
        <f t="shared" si="44"/>
        <v>Bulk Order</v>
      </c>
      <c r="J268" t="str">
        <f t="shared" si="36"/>
        <v>QuickBuy - Delhi</v>
      </c>
      <c r="K268">
        <f t="shared" si="37"/>
        <v>11</v>
      </c>
      <c r="L268" t="str">
        <f t="shared" si="38"/>
        <v>Ele</v>
      </c>
      <c r="M268" s="3" t="str">
        <f t="shared" si="39"/>
        <v>RD126</v>
      </c>
      <c r="N268" s="3" t="str">
        <f t="shared" si="40"/>
        <v>delhi</v>
      </c>
      <c r="O268" s="3" t="str">
        <f t="shared" si="41"/>
        <v>DELHI</v>
      </c>
      <c r="P268" s="3" t="str">
        <f t="shared" si="42"/>
        <v>Delhi</v>
      </c>
      <c r="Q268" s="3">
        <f t="shared" si="43"/>
        <v>3.872983346207417</v>
      </c>
    </row>
    <row r="269" spans="1:17">
      <c r="A269" t="s">
        <v>302</v>
      </c>
      <c r="B269" s="1">
        <v>45342</v>
      </c>
      <c r="C269" t="s">
        <v>25</v>
      </c>
      <c r="D269" t="s">
        <v>29</v>
      </c>
      <c r="E269" t="s">
        <v>30</v>
      </c>
      <c r="F269">
        <v>15</v>
      </c>
      <c r="G269">
        <v>1407.8</v>
      </c>
      <c r="H269">
        <v>21117</v>
      </c>
      <c r="I269" t="str">
        <f t="shared" si="44"/>
        <v>Bulk Order</v>
      </c>
      <c r="J269" t="str">
        <f t="shared" si="36"/>
        <v>QuickBuy - Kolkata</v>
      </c>
      <c r="K269">
        <f t="shared" si="37"/>
        <v>14</v>
      </c>
      <c r="L269" t="str">
        <f t="shared" si="38"/>
        <v>Hom</v>
      </c>
      <c r="M269" s="3" t="str">
        <f t="shared" si="39"/>
        <v>RD126</v>
      </c>
      <c r="N269" s="3" t="str">
        <f t="shared" si="40"/>
        <v>kolkata</v>
      </c>
      <c r="O269" s="3" t="str">
        <f t="shared" si="41"/>
        <v>KOLKATA</v>
      </c>
      <c r="P269" s="3" t="str">
        <f t="shared" si="42"/>
        <v>Kolkata</v>
      </c>
      <c r="Q269" s="3">
        <f t="shared" si="43"/>
        <v>3.872983346207417</v>
      </c>
    </row>
    <row r="270" spans="1:17">
      <c r="A270" t="s">
        <v>303</v>
      </c>
      <c r="B270" s="1">
        <v>45323</v>
      </c>
      <c r="C270" t="s">
        <v>39</v>
      </c>
      <c r="D270" t="s">
        <v>42</v>
      </c>
      <c r="E270" t="s">
        <v>44</v>
      </c>
      <c r="F270">
        <v>17</v>
      </c>
      <c r="G270">
        <v>846.11</v>
      </c>
      <c r="H270">
        <v>14383.87</v>
      </c>
      <c r="I270" t="str">
        <f t="shared" si="44"/>
        <v>Bulk Order</v>
      </c>
      <c r="J270" t="str">
        <f t="shared" si="36"/>
        <v>Trendz - Pune</v>
      </c>
      <c r="K270">
        <f t="shared" si="37"/>
        <v>9</v>
      </c>
      <c r="L270" t="str">
        <f t="shared" si="38"/>
        <v>Gro</v>
      </c>
      <c r="M270" s="3" t="str">
        <f t="shared" si="39"/>
        <v>RD126</v>
      </c>
      <c r="N270" s="3" t="str">
        <f t="shared" si="40"/>
        <v>pune</v>
      </c>
      <c r="O270" s="3" t="str">
        <f t="shared" si="41"/>
        <v>PUNE</v>
      </c>
      <c r="P270" s="3" t="str">
        <f t="shared" si="42"/>
        <v>Pune</v>
      </c>
      <c r="Q270" s="3">
        <f t="shared" si="43"/>
        <v>4.1231056256176606</v>
      </c>
    </row>
    <row r="271" spans="1:17">
      <c r="A271" t="s">
        <v>304</v>
      </c>
      <c r="B271" s="1">
        <v>45498</v>
      </c>
      <c r="C271" t="s">
        <v>39</v>
      </c>
      <c r="D271" t="s">
        <v>33</v>
      </c>
      <c r="E271" t="s">
        <v>27</v>
      </c>
      <c r="F271">
        <v>12</v>
      </c>
      <c r="G271">
        <v>634.78</v>
      </c>
      <c r="H271">
        <v>7617.36</v>
      </c>
      <c r="I271" t="str">
        <f t="shared" si="44"/>
        <v>Bulk Order</v>
      </c>
      <c r="J271" t="str">
        <f t="shared" si="36"/>
        <v>Trendz - Chennai</v>
      </c>
      <c r="K271">
        <f t="shared" si="37"/>
        <v>5</v>
      </c>
      <c r="L271" t="str">
        <f t="shared" si="38"/>
        <v>Boo</v>
      </c>
      <c r="M271" s="3" t="str">
        <f t="shared" si="39"/>
        <v>RD126</v>
      </c>
      <c r="N271" s="3" t="str">
        <f t="shared" si="40"/>
        <v>chennai</v>
      </c>
      <c r="O271" s="3" t="str">
        <f t="shared" si="41"/>
        <v>CHENNAI</v>
      </c>
      <c r="P271" s="3" t="str">
        <f t="shared" si="42"/>
        <v>Chennai</v>
      </c>
      <c r="Q271" s="3">
        <f t="shared" si="43"/>
        <v>3.4641016151377544</v>
      </c>
    </row>
    <row r="272" spans="1:17">
      <c r="A272" t="s">
        <v>305</v>
      </c>
      <c r="B272" s="1">
        <v>45465</v>
      </c>
      <c r="C272" t="s">
        <v>39</v>
      </c>
      <c r="D272" t="s">
        <v>19</v>
      </c>
      <c r="E272" t="s">
        <v>44</v>
      </c>
      <c r="F272">
        <v>5</v>
      </c>
      <c r="G272">
        <v>408.56</v>
      </c>
      <c r="H272">
        <v>2042.8</v>
      </c>
      <c r="I272" t="str">
        <f t="shared" si="44"/>
        <v>Normal Order</v>
      </c>
      <c r="J272" t="str">
        <f t="shared" si="36"/>
        <v>Trendz - Bangalore</v>
      </c>
      <c r="K272">
        <f t="shared" si="37"/>
        <v>9</v>
      </c>
      <c r="L272" t="str">
        <f t="shared" si="38"/>
        <v>Gro</v>
      </c>
      <c r="M272" s="3" t="str">
        <f t="shared" si="39"/>
        <v>RD127</v>
      </c>
      <c r="N272" s="3" t="str">
        <f t="shared" si="40"/>
        <v>bangalore</v>
      </c>
      <c r="O272" s="3" t="str">
        <f t="shared" si="41"/>
        <v>BANGALORE</v>
      </c>
      <c r="P272" s="3" t="str">
        <f t="shared" si="42"/>
        <v>Bangalore</v>
      </c>
      <c r="Q272" s="3">
        <f t="shared" si="43"/>
        <v>2.2360679774997898</v>
      </c>
    </row>
    <row r="273" spans="1:17">
      <c r="A273" t="s">
        <v>306</v>
      </c>
      <c r="B273" s="1">
        <v>45347</v>
      </c>
      <c r="C273" t="s">
        <v>25</v>
      </c>
      <c r="D273" t="s">
        <v>26</v>
      </c>
      <c r="E273" t="s">
        <v>23</v>
      </c>
      <c r="F273">
        <v>18</v>
      </c>
      <c r="G273">
        <v>1098.96</v>
      </c>
      <c r="H273">
        <v>19781.28</v>
      </c>
      <c r="I273" t="str">
        <f t="shared" si="44"/>
        <v>Bulk Order</v>
      </c>
      <c r="J273" t="str">
        <f t="shared" si="36"/>
        <v>QuickBuy - Delhi</v>
      </c>
      <c r="K273">
        <f t="shared" si="37"/>
        <v>8</v>
      </c>
      <c r="L273" t="str">
        <f t="shared" si="38"/>
        <v>Clo</v>
      </c>
      <c r="M273" s="3" t="str">
        <f t="shared" si="39"/>
        <v>RD127</v>
      </c>
      <c r="N273" s="3" t="str">
        <f t="shared" si="40"/>
        <v>delhi</v>
      </c>
      <c r="O273" s="3" t="str">
        <f t="shared" si="41"/>
        <v>DELHI</v>
      </c>
      <c r="P273" s="3" t="str">
        <f t="shared" si="42"/>
        <v>Delhi</v>
      </c>
      <c r="Q273" s="3">
        <f t="shared" si="43"/>
        <v>4.2426406871192848</v>
      </c>
    </row>
    <row r="274" spans="1:17">
      <c r="A274" t="s">
        <v>307</v>
      </c>
      <c r="B274" s="1">
        <v>45419</v>
      </c>
      <c r="C274" t="s">
        <v>18</v>
      </c>
      <c r="D274" t="s">
        <v>37</v>
      </c>
      <c r="E274" t="s">
        <v>44</v>
      </c>
      <c r="F274">
        <v>19</v>
      </c>
      <c r="G274">
        <v>519.89</v>
      </c>
      <c r="H274">
        <v>9877.91</v>
      </c>
      <c r="I274" t="str">
        <f t="shared" si="44"/>
        <v>Bulk Order</v>
      </c>
      <c r="J274" t="str">
        <f t="shared" si="36"/>
        <v>ValueShop - Hyderabad</v>
      </c>
      <c r="K274">
        <f t="shared" si="37"/>
        <v>9</v>
      </c>
      <c r="L274" t="str">
        <f t="shared" si="38"/>
        <v>Gro</v>
      </c>
      <c r="M274" s="3" t="str">
        <f t="shared" si="39"/>
        <v>RD127</v>
      </c>
      <c r="N274" s="3" t="str">
        <f t="shared" si="40"/>
        <v>hyderabad</v>
      </c>
      <c r="O274" s="3" t="str">
        <f t="shared" si="41"/>
        <v>HYDERABAD</v>
      </c>
      <c r="P274" s="3" t="str">
        <f t="shared" si="42"/>
        <v>Hyderabad</v>
      </c>
      <c r="Q274" s="3">
        <f t="shared" si="43"/>
        <v>4.358898943540674</v>
      </c>
    </row>
    <row r="275" spans="1:17">
      <c r="A275" t="s">
        <v>308</v>
      </c>
      <c r="B275" s="1">
        <v>45390</v>
      </c>
      <c r="C275" t="s">
        <v>18</v>
      </c>
      <c r="D275" t="s">
        <v>29</v>
      </c>
      <c r="E275" t="s">
        <v>23</v>
      </c>
      <c r="F275">
        <v>6</v>
      </c>
      <c r="G275">
        <v>489.42</v>
      </c>
      <c r="H275">
        <v>2936.52</v>
      </c>
      <c r="I275" t="str">
        <f t="shared" si="44"/>
        <v>Normal Order</v>
      </c>
      <c r="J275" t="str">
        <f t="shared" si="36"/>
        <v>ValueShop - Kolkata</v>
      </c>
      <c r="K275">
        <f t="shared" si="37"/>
        <v>8</v>
      </c>
      <c r="L275" t="str">
        <f t="shared" si="38"/>
        <v>Clo</v>
      </c>
      <c r="M275" s="3" t="str">
        <f t="shared" si="39"/>
        <v>RD127</v>
      </c>
      <c r="N275" s="3" t="str">
        <f t="shared" si="40"/>
        <v>kolkata</v>
      </c>
      <c r="O275" s="3" t="str">
        <f t="shared" si="41"/>
        <v>KOLKATA</v>
      </c>
      <c r="P275" s="3" t="str">
        <f t="shared" si="42"/>
        <v>Kolkata</v>
      </c>
      <c r="Q275" s="3">
        <f t="shared" si="43"/>
        <v>2.4494897427831779</v>
      </c>
    </row>
    <row r="276" spans="1:17">
      <c r="A276" t="s">
        <v>309</v>
      </c>
      <c r="B276" s="1">
        <v>45389</v>
      </c>
      <c r="C276" t="s">
        <v>22</v>
      </c>
      <c r="D276" t="s">
        <v>42</v>
      </c>
      <c r="E276" t="s">
        <v>20</v>
      </c>
      <c r="F276">
        <v>5</v>
      </c>
      <c r="G276">
        <v>1722.21</v>
      </c>
      <c r="H276">
        <v>8611.0499999999993</v>
      </c>
      <c r="I276" t="str">
        <f t="shared" si="44"/>
        <v>Normal Order</v>
      </c>
      <c r="J276" t="str">
        <f t="shared" si="36"/>
        <v>CityStore - Pune</v>
      </c>
      <c r="K276">
        <f t="shared" si="37"/>
        <v>11</v>
      </c>
      <c r="L276" t="str">
        <f t="shared" si="38"/>
        <v>Ele</v>
      </c>
      <c r="M276" s="3" t="str">
        <f t="shared" si="39"/>
        <v>RD127</v>
      </c>
      <c r="N276" s="3" t="str">
        <f t="shared" si="40"/>
        <v>pune</v>
      </c>
      <c r="O276" s="3" t="str">
        <f t="shared" si="41"/>
        <v>PUNE</v>
      </c>
      <c r="P276" s="3" t="str">
        <f t="shared" si="42"/>
        <v>Pune</v>
      </c>
      <c r="Q276" s="3">
        <f t="shared" si="43"/>
        <v>2.2360679774997898</v>
      </c>
    </row>
    <row r="277" spans="1:17">
      <c r="A277" t="s">
        <v>310</v>
      </c>
      <c r="B277" s="1">
        <v>45566</v>
      </c>
      <c r="C277" t="s">
        <v>32</v>
      </c>
      <c r="D277" t="s">
        <v>29</v>
      </c>
      <c r="E277" t="s">
        <v>34</v>
      </c>
      <c r="F277">
        <v>14</v>
      </c>
      <c r="G277">
        <v>331.49</v>
      </c>
      <c r="H277">
        <v>4640.8600000000006</v>
      </c>
      <c r="I277" t="str">
        <f t="shared" si="44"/>
        <v>Bulk Order</v>
      </c>
      <c r="J277" t="str">
        <f t="shared" si="36"/>
        <v>MegaMart - Kolkata</v>
      </c>
      <c r="K277">
        <f t="shared" si="37"/>
        <v>4</v>
      </c>
      <c r="L277" t="str">
        <f t="shared" si="38"/>
        <v>Toy</v>
      </c>
      <c r="M277" s="3" t="str">
        <f t="shared" si="39"/>
        <v>RD127</v>
      </c>
      <c r="N277" s="3" t="str">
        <f t="shared" si="40"/>
        <v>kolkata</v>
      </c>
      <c r="O277" s="3" t="str">
        <f t="shared" si="41"/>
        <v>KOLKATA</v>
      </c>
      <c r="P277" s="3" t="str">
        <f t="shared" si="42"/>
        <v>Kolkata</v>
      </c>
      <c r="Q277" s="3">
        <f t="shared" si="43"/>
        <v>3.7416573867739413</v>
      </c>
    </row>
    <row r="278" spans="1:17">
      <c r="A278" t="s">
        <v>311</v>
      </c>
      <c r="B278" s="1">
        <v>45521</v>
      </c>
      <c r="C278" t="s">
        <v>18</v>
      </c>
      <c r="D278" t="s">
        <v>42</v>
      </c>
      <c r="E278" t="s">
        <v>27</v>
      </c>
      <c r="F278">
        <v>17</v>
      </c>
      <c r="G278">
        <v>952.9</v>
      </c>
      <c r="H278">
        <v>16199.3</v>
      </c>
      <c r="I278" t="str">
        <f t="shared" si="44"/>
        <v>Bulk Order</v>
      </c>
      <c r="J278" t="str">
        <f t="shared" si="36"/>
        <v>ValueShop - Pune</v>
      </c>
      <c r="K278">
        <f t="shared" si="37"/>
        <v>5</v>
      </c>
      <c r="L278" t="str">
        <f t="shared" si="38"/>
        <v>Boo</v>
      </c>
      <c r="M278" s="3" t="str">
        <f t="shared" si="39"/>
        <v>RD127</v>
      </c>
      <c r="N278" s="3" t="str">
        <f t="shared" si="40"/>
        <v>pune</v>
      </c>
      <c r="O278" s="3" t="str">
        <f t="shared" si="41"/>
        <v>PUNE</v>
      </c>
      <c r="P278" s="3" t="str">
        <f t="shared" si="42"/>
        <v>Pune</v>
      </c>
      <c r="Q278" s="3">
        <f t="shared" si="43"/>
        <v>4.1231056256176606</v>
      </c>
    </row>
    <row r="279" spans="1:17">
      <c r="A279" t="s">
        <v>312</v>
      </c>
      <c r="B279" s="1">
        <v>45363</v>
      </c>
      <c r="C279" t="s">
        <v>39</v>
      </c>
      <c r="D279" t="s">
        <v>26</v>
      </c>
      <c r="E279" t="s">
        <v>20</v>
      </c>
      <c r="F279">
        <v>2</v>
      </c>
      <c r="G279">
        <v>162.37</v>
      </c>
      <c r="H279">
        <v>324.74</v>
      </c>
      <c r="I279" t="str">
        <f t="shared" si="44"/>
        <v>Normal Order</v>
      </c>
      <c r="J279" t="str">
        <f t="shared" si="36"/>
        <v>Trendz - Delhi</v>
      </c>
      <c r="K279">
        <f t="shared" si="37"/>
        <v>11</v>
      </c>
      <c r="L279" t="str">
        <f t="shared" si="38"/>
        <v>Ele</v>
      </c>
      <c r="M279" s="3" t="str">
        <f t="shared" si="39"/>
        <v>RD127</v>
      </c>
      <c r="N279" s="3" t="str">
        <f t="shared" si="40"/>
        <v>delhi</v>
      </c>
      <c r="O279" s="3" t="str">
        <f t="shared" si="41"/>
        <v>DELHI</v>
      </c>
      <c r="P279" s="3" t="str">
        <f t="shared" si="42"/>
        <v>Delhi</v>
      </c>
      <c r="Q279" s="3">
        <f t="shared" si="43"/>
        <v>1.4142135623730951</v>
      </c>
    </row>
    <row r="280" spans="1:17">
      <c r="A280" t="s">
        <v>313</v>
      </c>
      <c r="B280" s="1">
        <v>45508</v>
      </c>
      <c r="C280" t="s">
        <v>22</v>
      </c>
      <c r="D280" t="s">
        <v>37</v>
      </c>
      <c r="E280" t="s">
        <v>34</v>
      </c>
      <c r="F280">
        <v>4</v>
      </c>
      <c r="G280">
        <v>854.72</v>
      </c>
      <c r="H280">
        <v>3418.88</v>
      </c>
      <c r="I280" t="str">
        <f t="shared" si="44"/>
        <v>Normal Order</v>
      </c>
      <c r="J280" t="str">
        <f t="shared" si="36"/>
        <v>CityStore - Hyderabad</v>
      </c>
      <c r="K280">
        <f t="shared" si="37"/>
        <v>4</v>
      </c>
      <c r="L280" t="str">
        <f t="shared" si="38"/>
        <v>Toy</v>
      </c>
      <c r="M280" s="3" t="str">
        <f t="shared" si="39"/>
        <v>RD127</v>
      </c>
      <c r="N280" s="3" t="str">
        <f t="shared" si="40"/>
        <v>hyderabad</v>
      </c>
      <c r="O280" s="3" t="str">
        <f t="shared" si="41"/>
        <v>HYDERABAD</v>
      </c>
      <c r="P280" s="3" t="str">
        <f t="shared" si="42"/>
        <v>Hyderabad</v>
      </c>
      <c r="Q280" s="3">
        <f t="shared" si="43"/>
        <v>2</v>
      </c>
    </row>
    <row r="281" spans="1:17">
      <c r="A281" t="s">
        <v>314</v>
      </c>
      <c r="B281" s="1">
        <v>45385</v>
      </c>
      <c r="C281" t="s">
        <v>39</v>
      </c>
      <c r="D281" t="s">
        <v>42</v>
      </c>
      <c r="E281" t="s">
        <v>34</v>
      </c>
      <c r="F281">
        <v>17</v>
      </c>
      <c r="G281">
        <v>862.19</v>
      </c>
      <c r="H281">
        <v>14657.23</v>
      </c>
      <c r="I281" t="str">
        <f t="shared" si="44"/>
        <v>Bulk Order</v>
      </c>
      <c r="J281" t="str">
        <f t="shared" si="36"/>
        <v>Trendz - Pune</v>
      </c>
      <c r="K281">
        <f t="shared" si="37"/>
        <v>4</v>
      </c>
      <c r="L281" t="str">
        <f t="shared" si="38"/>
        <v>Toy</v>
      </c>
      <c r="M281" s="3" t="str">
        <f t="shared" si="39"/>
        <v>RD127</v>
      </c>
      <c r="N281" s="3" t="str">
        <f t="shared" si="40"/>
        <v>pune</v>
      </c>
      <c r="O281" s="3" t="str">
        <f t="shared" si="41"/>
        <v>PUNE</v>
      </c>
      <c r="P281" s="3" t="str">
        <f t="shared" si="42"/>
        <v>Pune</v>
      </c>
      <c r="Q281" s="3">
        <f t="shared" si="43"/>
        <v>4.1231056256176606</v>
      </c>
    </row>
    <row r="282" spans="1:17">
      <c r="A282" t="s">
        <v>315</v>
      </c>
      <c r="B282" s="1">
        <v>45434</v>
      </c>
      <c r="C282" t="s">
        <v>25</v>
      </c>
      <c r="D282" t="s">
        <v>33</v>
      </c>
      <c r="E282" t="s">
        <v>23</v>
      </c>
      <c r="F282">
        <v>5</v>
      </c>
      <c r="G282">
        <v>1083.48</v>
      </c>
      <c r="H282">
        <v>5417.4</v>
      </c>
      <c r="I282" t="str">
        <f t="shared" si="44"/>
        <v>Normal Order</v>
      </c>
      <c r="J282" t="str">
        <f t="shared" si="36"/>
        <v>QuickBuy - Chennai</v>
      </c>
      <c r="K282">
        <f t="shared" si="37"/>
        <v>8</v>
      </c>
      <c r="L282" t="str">
        <f t="shared" si="38"/>
        <v>Clo</v>
      </c>
      <c r="M282" s="3" t="str">
        <f t="shared" si="39"/>
        <v>RD128</v>
      </c>
      <c r="N282" s="3" t="str">
        <f t="shared" si="40"/>
        <v>chennai</v>
      </c>
      <c r="O282" s="3" t="str">
        <f t="shared" si="41"/>
        <v>CHENNAI</v>
      </c>
      <c r="P282" s="3" t="str">
        <f t="shared" si="42"/>
        <v>Chennai</v>
      </c>
      <c r="Q282" s="3">
        <f t="shared" si="43"/>
        <v>2.2360679774997898</v>
      </c>
    </row>
    <row r="283" spans="1:17">
      <c r="A283" t="s">
        <v>316</v>
      </c>
      <c r="B283" s="1">
        <v>45528</v>
      </c>
      <c r="C283" t="s">
        <v>25</v>
      </c>
      <c r="D283" t="s">
        <v>29</v>
      </c>
      <c r="E283" t="s">
        <v>44</v>
      </c>
      <c r="F283">
        <v>10</v>
      </c>
      <c r="G283">
        <v>807.42</v>
      </c>
      <c r="H283">
        <v>8074.2</v>
      </c>
      <c r="I283" t="str">
        <f t="shared" si="44"/>
        <v>Normal Order</v>
      </c>
      <c r="J283" t="str">
        <f t="shared" si="36"/>
        <v>QuickBuy - Kolkata</v>
      </c>
      <c r="K283">
        <f t="shared" si="37"/>
        <v>9</v>
      </c>
      <c r="L283" t="str">
        <f t="shared" si="38"/>
        <v>Gro</v>
      </c>
      <c r="M283" s="3" t="str">
        <f t="shared" si="39"/>
        <v>RD128</v>
      </c>
      <c r="N283" s="3" t="str">
        <f t="shared" si="40"/>
        <v>kolkata</v>
      </c>
      <c r="O283" s="3" t="str">
        <f t="shared" si="41"/>
        <v>KOLKATA</v>
      </c>
      <c r="P283" s="3" t="str">
        <f t="shared" si="42"/>
        <v>Kolkata</v>
      </c>
      <c r="Q283" s="3">
        <f t="shared" si="43"/>
        <v>3.1622776601683795</v>
      </c>
    </row>
    <row r="284" spans="1:17">
      <c r="A284" t="s">
        <v>317</v>
      </c>
      <c r="B284" s="1">
        <v>45419</v>
      </c>
      <c r="C284" t="s">
        <v>39</v>
      </c>
      <c r="D284" t="s">
        <v>19</v>
      </c>
      <c r="E284" t="s">
        <v>44</v>
      </c>
      <c r="F284">
        <v>6</v>
      </c>
      <c r="G284">
        <v>547.24</v>
      </c>
      <c r="H284">
        <v>3283.44</v>
      </c>
      <c r="I284" t="str">
        <f t="shared" si="44"/>
        <v>Normal Order</v>
      </c>
      <c r="J284" t="str">
        <f t="shared" si="36"/>
        <v>Trendz - Bangalore</v>
      </c>
      <c r="K284">
        <f t="shared" si="37"/>
        <v>9</v>
      </c>
      <c r="L284" t="str">
        <f t="shared" si="38"/>
        <v>Gro</v>
      </c>
      <c r="M284" s="3" t="str">
        <f t="shared" si="39"/>
        <v>RD128</v>
      </c>
      <c r="N284" s="3" t="str">
        <f t="shared" si="40"/>
        <v>bangalore</v>
      </c>
      <c r="O284" s="3" t="str">
        <f t="shared" si="41"/>
        <v>BANGALORE</v>
      </c>
      <c r="P284" s="3" t="str">
        <f t="shared" si="42"/>
        <v>Bangalore</v>
      </c>
      <c r="Q284" s="3">
        <f t="shared" si="43"/>
        <v>2.4494897427831779</v>
      </c>
    </row>
    <row r="285" spans="1:17">
      <c r="A285" t="s">
        <v>318</v>
      </c>
      <c r="B285" s="1">
        <v>45330</v>
      </c>
      <c r="C285" t="s">
        <v>18</v>
      </c>
      <c r="D285" t="s">
        <v>29</v>
      </c>
      <c r="E285" t="s">
        <v>27</v>
      </c>
      <c r="F285">
        <v>6</v>
      </c>
      <c r="G285">
        <v>694.01</v>
      </c>
      <c r="H285">
        <v>4164.0599999999986</v>
      </c>
      <c r="I285" t="str">
        <f t="shared" si="44"/>
        <v>Normal Order</v>
      </c>
      <c r="J285" t="str">
        <f t="shared" si="36"/>
        <v>ValueShop - Kolkata</v>
      </c>
      <c r="K285">
        <f t="shared" si="37"/>
        <v>5</v>
      </c>
      <c r="L285" t="str">
        <f t="shared" si="38"/>
        <v>Boo</v>
      </c>
      <c r="M285" s="3" t="str">
        <f t="shared" si="39"/>
        <v>RD128</v>
      </c>
      <c r="N285" s="3" t="str">
        <f t="shared" si="40"/>
        <v>kolkata</v>
      </c>
      <c r="O285" s="3" t="str">
        <f t="shared" si="41"/>
        <v>KOLKATA</v>
      </c>
      <c r="P285" s="3" t="str">
        <f t="shared" si="42"/>
        <v>Kolkata</v>
      </c>
      <c r="Q285" s="3">
        <f t="shared" si="43"/>
        <v>2.4494897427831779</v>
      </c>
    </row>
    <row r="286" spans="1:17">
      <c r="A286" t="s">
        <v>319</v>
      </c>
      <c r="B286" s="1">
        <v>45518</v>
      </c>
      <c r="C286" t="s">
        <v>32</v>
      </c>
      <c r="D286" t="s">
        <v>29</v>
      </c>
      <c r="E286" t="s">
        <v>27</v>
      </c>
      <c r="F286">
        <v>11</v>
      </c>
      <c r="G286">
        <v>204.19</v>
      </c>
      <c r="H286">
        <v>2246.09</v>
      </c>
      <c r="I286" t="str">
        <f t="shared" si="44"/>
        <v>Bulk Order</v>
      </c>
      <c r="J286" t="str">
        <f t="shared" si="36"/>
        <v>MegaMart - Kolkata</v>
      </c>
      <c r="K286">
        <f t="shared" si="37"/>
        <v>5</v>
      </c>
      <c r="L286" t="str">
        <f t="shared" si="38"/>
        <v>Boo</v>
      </c>
      <c r="M286" s="3" t="str">
        <f t="shared" si="39"/>
        <v>RD128</v>
      </c>
      <c r="N286" s="3" t="str">
        <f t="shared" si="40"/>
        <v>kolkata</v>
      </c>
      <c r="O286" s="3" t="str">
        <f t="shared" si="41"/>
        <v>KOLKATA</v>
      </c>
      <c r="P286" s="3" t="str">
        <f t="shared" si="42"/>
        <v>Kolkata</v>
      </c>
      <c r="Q286" s="3">
        <f t="shared" si="43"/>
        <v>3.3166247903553998</v>
      </c>
    </row>
    <row r="287" spans="1:17">
      <c r="A287" t="s">
        <v>320</v>
      </c>
      <c r="B287" s="1">
        <v>45573</v>
      </c>
      <c r="C287" t="s">
        <v>39</v>
      </c>
      <c r="D287" t="s">
        <v>50</v>
      </c>
      <c r="E287" t="s">
        <v>23</v>
      </c>
      <c r="F287">
        <v>8</v>
      </c>
      <c r="G287">
        <v>927.08</v>
      </c>
      <c r="H287">
        <v>7416.64</v>
      </c>
      <c r="I287" t="str">
        <f t="shared" si="44"/>
        <v>Normal Order</v>
      </c>
      <c r="J287" t="str">
        <f t="shared" si="36"/>
        <v>Trendz - Mumbai</v>
      </c>
      <c r="K287">
        <f t="shared" si="37"/>
        <v>8</v>
      </c>
      <c r="L287" t="str">
        <f t="shared" si="38"/>
        <v>Clo</v>
      </c>
      <c r="M287" s="3" t="str">
        <f t="shared" si="39"/>
        <v>RD128</v>
      </c>
      <c r="N287" s="3" t="str">
        <f t="shared" si="40"/>
        <v>mumbai</v>
      </c>
      <c r="O287" s="3" t="str">
        <f t="shared" si="41"/>
        <v>MUMBAI</v>
      </c>
      <c r="P287" s="3" t="str">
        <f t="shared" si="42"/>
        <v>Mumbai</v>
      </c>
      <c r="Q287" s="3">
        <f t="shared" si="43"/>
        <v>2.8284271247461903</v>
      </c>
    </row>
    <row r="288" spans="1:17">
      <c r="A288" t="s">
        <v>321</v>
      </c>
      <c r="B288" s="1">
        <v>45342</v>
      </c>
      <c r="C288" t="s">
        <v>18</v>
      </c>
      <c r="D288" t="s">
        <v>37</v>
      </c>
      <c r="E288" t="s">
        <v>23</v>
      </c>
      <c r="F288">
        <v>12</v>
      </c>
      <c r="G288">
        <v>773.6</v>
      </c>
      <c r="H288">
        <v>9283.2000000000007</v>
      </c>
      <c r="I288" t="str">
        <f t="shared" si="44"/>
        <v>Bulk Order</v>
      </c>
      <c r="J288" t="str">
        <f t="shared" si="36"/>
        <v>ValueShop - Hyderabad</v>
      </c>
      <c r="K288">
        <f t="shared" si="37"/>
        <v>8</v>
      </c>
      <c r="L288" t="str">
        <f t="shared" si="38"/>
        <v>Clo</v>
      </c>
      <c r="M288" s="3" t="str">
        <f t="shared" si="39"/>
        <v>RD128</v>
      </c>
      <c r="N288" s="3" t="str">
        <f t="shared" si="40"/>
        <v>hyderabad</v>
      </c>
      <c r="O288" s="3" t="str">
        <f t="shared" si="41"/>
        <v>HYDERABAD</v>
      </c>
      <c r="P288" s="3" t="str">
        <f t="shared" si="42"/>
        <v>Hyderabad</v>
      </c>
      <c r="Q288" s="3">
        <f t="shared" si="43"/>
        <v>3.4641016151377544</v>
      </c>
    </row>
    <row r="289" spans="1:17">
      <c r="A289" t="s">
        <v>322</v>
      </c>
      <c r="B289" s="1">
        <v>45317</v>
      </c>
      <c r="C289" t="s">
        <v>22</v>
      </c>
      <c r="D289" t="s">
        <v>29</v>
      </c>
      <c r="E289" t="s">
        <v>20</v>
      </c>
      <c r="F289">
        <v>17</v>
      </c>
      <c r="G289">
        <v>1094.49</v>
      </c>
      <c r="H289">
        <v>18606.330000000002</v>
      </c>
      <c r="I289" t="str">
        <f t="shared" si="44"/>
        <v>Bulk Order</v>
      </c>
      <c r="J289" t="str">
        <f t="shared" si="36"/>
        <v>CityStore - Kolkata</v>
      </c>
      <c r="K289">
        <f t="shared" si="37"/>
        <v>11</v>
      </c>
      <c r="L289" t="str">
        <f t="shared" si="38"/>
        <v>Ele</v>
      </c>
      <c r="M289" s="3" t="str">
        <f t="shared" si="39"/>
        <v>RD128</v>
      </c>
      <c r="N289" s="3" t="str">
        <f t="shared" si="40"/>
        <v>kolkata</v>
      </c>
      <c r="O289" s="3" t="str">
        <f t="shared" si="41"/>
        <v>KOLKATA</v>
      </c>
      <c r="P289" s="3" t="str">
        <f t="shared" si="42"/>
        <v>Kolkata</v>
      </c>
      <c r="Q289" s="3">
        <f t="shared" si="43"/>
        <v>4.1231056256176606</v>
      </c>
    </row>
    <row r="290" spans="1:17">
      <c r="A290" t="s">
        <v>323</v>
      </c>
      <c r="B290" s="1">
        <v>45625</v>
      </c>
      <c r="C290" t="s">
        <v>39</v>
      </c>
      <c r="D290" t="s">
        <v>19</v>
      </c>
      <c r="E290" t="s">
        <v>23</v>
      </c>
      <c r="F290">
        <v>10</v>
      </c>
      <c r="G290">
        <v>1667.34</v>
      </c>
      <c r="H290">
        <v>16673.400000000001</v>
      </c>
      <c r="I290" t="str">
        <f t="shared" si="44"/>
        <v>Normal Order</v>
      </c>
      <c r="J290" t="str">
        <f t="shared" si="36"/>
        <v>Trendz - Bangalore</v>
      </c>
      <c r="K290">
        <f t="shared" si="37"/>
        <v>8</v>
      </c>
      <c r="L290" t="str">
        <f t="shared" si="38"/>
        <v>Clo</v>
      </c>
      <c r="M290" s="3" t="str">
        <f t="shared" si="39"/>
        <v>RD128</v>
      </c>
      <c r="N290" s="3" t="str">
        <f t="shared" si="40"/>
        <v>bangalore</v>
      </c>
      <c r="O290" s="3" t="str">
        <f t="shared" si="41"/>
        <v>BANGALORE</v>
      </c>
      <c r="P290" s="3" t="str">
        <f t="shared" si="42"/>
        <v>Bangalore</v>
      </c>
      <c r="Q290" s="3">
        <f t="shared" si="43"/>
        <v>3.1622776601683795</v>
      </c>
    </row>
    <row r="291" spans="1:17">
      <c r="A291" t="s">
        <v>324</v>
      </c>
      <c r="B291" s="1">
        <v>45568</v>
      </c>
      <c r="C291" t="s">
        <v>22</v>
      </c>
      <c r="D291" t="s">
        <v>50</v>
      </c>
      <c r="E291" t="s">
        <v>44</v>
      </c>
      <c r="F291">
        <v>3</v>
      </c>
      <c r="G291">
        <v>150.5</v>
      </c>
      <c r="H291">
        <v>451.5</v>
      </c>
      <c r="I291" t="str">
        <f t="shared" si="44"/>
        <v>Normal Order</v>
      </c>
      <c r="J291" t="str">
        <f t="shared" si="36"/>
        <v>CityStore - Mumbai</v>
      </c>
      <c r="K291">
        <f t="shared" si="37"/>
        <v>9</v>
      </c>
      <c r="L291" t="str">
        <f t="shared" si="38"/>
        <v>Gro</v>
      </c>
      <c r="M291" s="3" t="str">
        <f t="shared" si="39"/>
        <v>RD128</v>
      </c>
      <c r="N291" s="3" t="str">
        <f t="shared" si="40"/>
        <v>mumbai</v>
      </c>
      <c r="O291" s="3" t="str">
        <f t="shared" si="41"/>
        <v>MUMBAI</v>
      </c>
      <c r="P291" s="3" t="str">
        <f t="shared" si="42"/>
        <v>Mumbai</v>
      </c>
      <c r="Q291" s="3">
        <f t="shared" si="43"/>
        <v>1.7320508075688772</v>
      </c>
    </row>
    <row r="292" spans="1:17">
      <c r="A292" t="s">
        <v>325</v>
      </c>
      <c r="B292" s="1">
        <v>45299</v>
      </c>
      <c r="C292" t="s">
        <v>18</v>
      </c>
      <c r="D292" t="s">
        <v>42</v>
      </c>
      <c r="E292" t="s">
        <v>23</v>
      </c>
      <c r="F292">
        <v>9</v>
      </c>
      <c r="G292">
        <v>785.48</v>
      </c>
      <c r="H292">
        <v>7069.32</v>
      </c>
      <c r="I292" t="str">
        <f t="shared" si="44"/>
        <v>Normal Order</v>
      </c>
      <c r="J292" t="str">
        <f t="shared" si="36"/>
        <v>ValueShop - Pune</v>
      </c>
      <c r="K292">
        <f t="shared" si="37"/>
        <v>8</v>
      </c>
      <c r="L292" t="str">
        <f t="shared" si="38"/>
        <v>Clo</v>
      </c>
      <c r="M292" s="3" t="str">
        <f t="shared" si="39"/>
        <v>RD129</v>
      </c>
      <c r="N292" s="3" t="str">
        <f t="shared" si="40"/>
        <v>pune</v>
      </c>
      <c r="O292" s="3" t="str">
        <f t="shared" si="41"/>
        <v>PUNE</v>
      </c>
      <c r="P292" s="3" t="str">
        <f t="shared" si="42"/>
        <v>Pune</v>
      </c>
      <c r="Q292" s="3">
        <f t="shared" si="43"/>
        <v>3</v>
      </c>
    </row>
    <row r="293" spans="1:17">
      <c r="A293" t="s">
        <v>326</v>
      </c>
      <c r="B293" s="1">
        <v>45339</v>
      </c>
      <c r="C293" t="s">
        <v>18</v>
      </c>
      <c r="D293" t="s">
        <v>50</v>
      </c>
      <c r="E293" t="s">
        <v>23</v>
      </c>
      <c r="F293">
        <v>7</v>
      </c>
      <c r="G293">
        <v>1229.69</v>
      </c>
      <c r="H293">
        <v>8607.83</v>
      </c>
      <c r="I293" t="str">
        <f t="shared" si="44"/>
        <v>Normal Order</v>
      </c>
      <c r="J293" t="str">
        <f t="shared" si="36"/>
        <v>ValueShop - Mumbai</v>
      </c>
      <c r="K293">
        <f t="shared" si="37"/>
        <v>8</v>
      </c>
      <c r="L293" t="str">
        <f t="shared" si="38"/>
        <v>Clo</v>
      </c>
      <c r="M293" s="3" t="str">
        <f t="shared" si="39"/>
        <v>RD129</v>
      </c>
      <c r="N293" s="3" t="str">
        <f t="shared" si="40"/>
        <v>mumbai</v>
      </c>
      <c r="O293" s="3" t="str">
        <f t="shared" si="41"/>
        <v>MUMBAI</v>
      </c>
      <c r="P293" s="3" t="str">
        <f t="shared" si="42"/>
        <v>Mumbai</v>
      </c>
      <c r="Q293" s="3">
        <f t="shared" si="43"/>
        <v>2.6457513110645907</v>
      </c>
    </row>
    <row r="294" spans="1:17">
      <c r="A294" t="s">
        <v>327</v>
      </c>
      <c r="B294" s="1">
        <v>45413</v>
      </c>
      <c r="C294" t="s">
        <v>18</v>
      </c>
      <c r="D294" t="s">
        <v>37</v>
      </c>
      <c r="E294" t="s">
        <v>34</v>
      </c>
      <c r="F294">
        <v>18</v>
      </c>
      <c r="G294">
        <v>127.12</v>
      </c>
      <c r="H294">
        <v>2288.16</v>
      </c>
      <c r="I294" t="str">
        <f t="shared" si="44"/>
        <v>Bulk Order</v>
      </c>
      <c r="J294" t="str">
        <f t="shared" si="36"/>
        <v>ValueShop - Hyderabad</v>
      </c>
      <c r="K294">
        <f t="shared" si="37"/>
        <v>4</v>
      </c>
      <c r="L294" t="str">
        <f t="shared" si="38"/>
        <v>Toy</v>
      </c>
      <c r="M294" s="3" t="str">
        <f t="shared" si="39"/>
        <v>RD129</v>
      </c>
      <c r="N294" s="3" t="str">
        <f t="shared" si="40"/>
        <v>hyderabad</v>
      </c>
      <c r="O294" s="3" t="str">
        <f t="shared" si="41"/>
        <v>HYDERABAD</v>
      </c>
      <c r="P294" s="3" t="str">
        <f t="shared" si="42"/>
        <v>Hyderabad</v>
      </c>
      <c r="Q294" s="3">
        <f t="shared" si="43"/>
        <v>4.2426406871192848</v>
      </c>
    </row>
    <row r="295" spans="1:17">
      <c r="A295" t="s">
        <v>328</v>
      </c>
      <c r="B295" s="1">
        <v>45377</v>
      </c>
      <c r="C295" t="s">
        <v>18</v>
      </c>
      <c r="D295" t="s">
        <v>19</v>
      </c>
      <c r="E295" t="s">
        <v>23</v>
      </c>
      <c r="F295">
        <v>9</v>
      </c>
      <c r="G295">
        <v>191.93</v>
      </c>
      <c r="H295">
        <v>1727.37</v>
      </c>
      <c r="I295" t="str">
        <f t="shared" si="44"/>
        <v>Normal Order</v>
      </c>
      <c r="J295" t="str">
        <f t="shared" si="36"/>
        <v>ValueShop - Bangalore</v>
      </c>
      <c r="K295">
        <f t="shared" si="37"/>
        <v>8</v>
      </c>
      <c r="L295" t="str">
        <f t="shared" si="38"/>
        <v>Clo</v>
      </c>
      <c r="M295" s="3" t="str">
        <f t="shared" si="39"/>
        <v>RD129</v>
      </c>
      <c r="N295" s="3" t="str">
        <f t="shared" si="40"/>
        <v>bangalore</v>
      </c>
      <c r="O295" s="3" t="str">
        <f t="shared" si="41"/>
        <v>BANGALORE</v>
      </c>
      <c r="P295" s="3" t="str">
        <f t="shared" si="42"/>
        <v>Bangalore</v>
      </c>
      <c r="Q295" s="3">
        <f t="shared" si="43"/>
        <v>3</v>
      </c>
    </row>
    <row r="296" spans="1:17">
      <c r="A296" t="s">
        <v>329</v>
      </c>
      <c r="B296" s="1">
        <v>45500</v>
      </c>
      <c r="C296" t="s">
        <v>25</v>
      </c>
      <c r="D296" t="s">
        <v>42</v>
      </c>
      <c r="E296" t="s">
        <v>27</v>
      </c>
      <c r="F296">
        <v>5</v>
      </c>
      <c r="G296">
        <v>1619.07</v>
      </c>
      <c r="H296">
        <v>8095.3499999999995</v>
      </c>
      <c r="I296" t="str">
        <f t="shared" si="44"/>
        <v>Normal Order</v>
      </c>
      <c r="J296" t="str">
        <f t="shared" si="36"/>
        <v>QuickBuy - Pune</v>
      </c>
      <c r="K296">
        <f t="shared" si="37"/>
        <v>5</v>
      </c>
      <c r="L296" t="str">
        <f t="shared" si="38"/>
        <v>Boo</v>
      </c>
      <c r="M296" s="3" t="str">
        <f t="shared" si="39"/>
        <v>RD129</v>
      </c>
      <c r="N296" s="3" t="str">
        <f t="shared" si="40"/>
        <v>pune</v>
      </c>
      <c r="O296" s="3" t="str">
        <f t="shared" si="41"/>
        <v>PUNE</v>
      </c>
      <c r="P296" s="3" t="str">
        <f t="shared" si="42"/>
        <v>Pune</v>
      </c>
      <c r="Q296" s="3">
        <f t="shared" si="43"/>
        <v>2.2360679774997898</v>
      </c>
    </row>
    <row r="297" spans="1:17">
      <c r="A297" t="s">
        <v>330</v>
      </c>
      <c r="B297" s="1">
        <v>45540</v>
      </c>
      <c r="C297" t="s">
        <v>18</v>
      </c>
      <c r="D297" t="s">
        <v>29</v>
      </c>
      <c r="E297" t="s">
        <v>20</v>
      </c>
      <c r="F297">
        <v>10</v>
      </c>
      <c r="G297">
        <v>1195.79</v>
      </c>
      <c r="H297">
        <v>11957.9</v>
      </c>
      <c r="I297" t="str">
        <f t="shared" si="44"/>
        <v>Normal Order</v>
      </c>
      <c r="J297" t="str">
        <f t="shared" si="36"/>
        <v>ValueShop - Kolkata</v>
      </c>
      <c r="K297">
        <f t="shared" si="37"/>
        <v>11</v>
      </c>
      <c r="L297" t="str">
        <f t="shared" si="38"/>
        <v>Ele</v>
      </c>
      <c r="M297" s="3" t="str">
        <f t="shared" si="39"/>
        <v>RD129</v>
      </c>
      <c r="N297" s="3" t="str">
        <f t="shared" si="40"/>
        <v>kolkata</v>
      </c>
      <c r="O297" s="3" t="str">
        <f t="shared" si="41"/>
        <v>KOLKATA</v>
      </c>
      <c r="P297" s="3" t="str">
        <f t="shared" si="42"/>
        <v>Kolkata</v>
      </c>
      <c r="Q297" s="3">
        <f t="shared" si="43"/>
        <v>3.1622776601683795</v>
      </c>
    </row>
    <row r="298" spans="1:17">
      <c r="A298" t="s">
        <v>331</v>
      </c>
      <c r="B298" s="1">
        <v>45538</v>
      </c>
      <c r="C298" t="s">
        <v>25</v>
      </c>
      <c r="D298" t="s">
        <v>42</v>
      </c>
      <c r="E298" t="s">
        <v>23</v>
      </c>
      <c r="F298">
        <v>20</v>
      </c>
      <c r="G298">
        <v>1359.33</v>
      </c>
      <c r="H298">
        <v>27186.6</v>
      </c>
      <c r="I298" t="str">
        <f t="shared" si="44"/>
        <v>Bulk Order</v>
      </c>
      <c r="J298" t="str">
        <f t="shared" si="36"/>
        <v>QuickBuy - Pune</v>
      </c>
      <c r="K298">
        <f t="shared" si="37"/>
        <v>8</v>
      </c>
      <c r="L298" t="str">
        <f t="shared" si="38"/>
        <v>Clo</v>
      </c>
      <c r="M298" s="3" t="str">
        <f t="shared" si="39"/>
        <v>RD129</v>
      </c>
      <c r="N298" s="3" t="str">
        <f t="shared" si="40"/>
        <v>pune</v>
      </c>
      <c r="O298" s="3" t="str">
        <f t="shared" si="41"/>
        <v>PUNE</v>
      </c>
      <c r="P298" s="3" t="str">
        <f t="shared" si="42"/>
        <v>Pune</v>
      </c>
      <c r="Q298" s="3">
        <f t="shared" si="43"/>
        <v>4.4721359549995796</v>
      </c>
    </row>
    <row r="299" spans="1:17">
      <c r="A299" t="s">
        <v>332</v>
      </c>
      <c r="B299" s="1">
        <v>45401</v>
      </c>
      <c r="C299" t="s">
        <v>32</v>
      </c>
      <c r="D299" t="s">
        <v>29</v>
      </c>
      <c r="E299" t="s">
        <v>27</v>
      </c>
      <c r="F299">
        <v>18</v>
      </c>
      <c r="G299">
        <v>473.18</v>
      </c>
      <c r="H299">
        <v>8517.24</v>
      </c>
      <c r="I299" t="str">
        <f t="shared" si="44"/>
        <v>Bulk Order</v>
      </c>
      <c r="J299" t="str">
        <f t="shared" si="36"/>
        <v>MegaMart - Kolkata</v>
      </c>
      <c r="K299">
        <f t="shared" si="37"/>
        <v>5</v>
      </c>
      <c r="L299" t="str">
        <f t="shared" si="38"/>
        <v>Boo</v>
      </c>
      <c r="M299" s="3" t="str">
        <f t="shared" si="39"/>
        <v>RD129</v>
      </c>
      <c r="N299" s="3" t="str">
        <f t="shared" si="40"/>
        <v>kolkata</v>
      </c>
      <c r="O299" s="3" t="str">
        <f t="shared" si="41"/>
        <v>KOLKATA</v>
      </c>
      <c r="P299" s="3" t="str">
        <f t="shared" si="42"/>
        <v>Kolkata</v>
      </c>
      <c r="Q299" s="3">
        <f t="shared" si="43"/>
        <v>4.2426406871192848</v>
      </c>
    </row>
    <row r="300" spans="1:17">
      <c r="A300" t="s">
        <v>333</v>
      </c>
      <c r="B300" s="1">
        <v>45497</v>
      </c>
      <c r="C300" t="s">
        <v>25</v>
      </c>
      <c r="D300" t="s">
        <v>42</v>
      </c>
      <c r="E300" t="s">
        <v>30</v>
      </c>
      <c r="F300">
        <v>3</v>
      </c>
      <c r="G300">
        <v>457.33</v>
      </c>
      <c r="H300">
        <v>1371.99</v>
      </c>
      <c r="I300" t="str">
        <f t="shared" si="44"/>
        <v>Normal Order</v>
      </c>
      <c r="J300" t="str">
        <f t="shared" si="36"/>
        <v>QuickBuy - Pune</v>
      </c>
      <c r="K300">
        <f t="shared" si="37"/>
        <v>14</v>
      </c>
      <c r="L300" t="str">
        <f t="shared" si="38"/>
        <v>Hom</v>
      </c>
      <c r="M300" s="3" t="str">
        <f t="shared" si="39"/>
        <v>RD129</v>
      </c>
      <c r="N300" s="3" t="str">
        <f t="shared" si="40"/>
        <v>pune</v>
      </c>
      <c r="O300" s="3" t="str">
        <f t="shared" si="41"/>
        <v>PUNE</v>
      </c>
      <c r="P300" s="3" t="str">
        <f t="shared" si="42"/>
        <v>Pune</v>
      </c>
      <c r="Q300" s="3">
        <f t="shared" si="43"/>
        <v>1.7320508075688772</v>
      </c>
    </row>
    <row r="301" spans="1:17">
      <c r="A301" t="s">
        <v>334</v>
      </c>
      <c r="B301" s="1">
        <v>45322</v>
      </c>
      <c r="C301" t="s">
        <v>22</v>
      </c>
      <c r="D301" t="s">
        <v>42</v>
      </c>
      <c r="E301" t="s">
        <v>30</v>
      </c>
      <c r="F301">
        <v>17</v>
      </c>
      <c r="G301">
        <v>1818.71</v>
      </c>
      <c r="H301">
        <v>30918.07</v>
      </c>
      <c r="I301" t="str">
        <f t="shared" si="44"/>
        <v>Bulk Order</v>
      </c>
      <c r="J301" t="str">
        <f t="shared" si="36"/>
        <v>CityStore - Pune</v>
      </c>
      <c r="K301">
        <f t="shared" si="37"/>
        <v>14</v>
      </c>
      <c r="L301" t="str">
        <f t="shared" si="38"/>
        <v>Hom</v>
      </c>
      <c r="M301" s="3" t="str">
        <f t="shared" si="39"/>
        <v>RD129</v>
      </c>
      <c r="N301" s="3" t="str">
        <f t="shared" si="40"/>
        <v>pune</v>
      </c>
      <c r="O301" s="3" t="str">
        <f t="shared" si="41"/>
        <v>PUNE</v>
      </c>
      <c r="P301" s="3" t="str">
        <f t="shared" si="42"/>
        <v>Pune</v>
      </c>
      <c r="Q301" s="3">
        <f t="shared" si="43"/>
        <v>4.1231056256176606</v>
      </c>
    </row>
    <row r="302" spans="1:17">
      <c r="A302" t="s">
        <v>335</v>
      </c>
      <c r="B302" s="1">
        <v>45376</v>
      </c>
      <c r="C302" t="s">
        <v>32</v>
      </c>
      <c r="D302" t="s">
        <v>29</v>
      </c>
      <c r="E302" t="s">
        <v>34</v>
      </c>
      <c r="F302">
        <v>6</v>
      </c>
      <c r="G302">
        <v>641.22</v>
      </c>
      <c r="H302">
        <v>3847.32</v>
      </c>
      <c r="I302" t="str">
        <f t="shared" si="44"/>
        <v>Normal Order</v>
      </c>
      <c r="J302" t="str">
        <f t="shared" si="36"/>
        <v>MegaMart - Kolkata</v>
      </c>
      <c r="K302">
        <f t="shared" si="37"/>
        <v>4</v>
      </c>
      <c r="L302" t="str">
        <f t="shared" si="38"/>
        <v>Toy</v>
      </c>
      <c r="M302" s="3" t="str">
        <f t="shared" si="39"/>
        <v>RD130</v>
      </c>
      <c r="N302" s="3" t="str">
        <f t="shared" si="40"/>
        <v>kolkata</v>
      </c>
      <c r="O302" s="3" t="str">
        <f t="shared" si="41"/>
        <v>KOLKATA</v>
      </c>
      <c r="P302" s="3" t="str">
        <f t="shared" si="42"/>
        <v>Kolkata</v>
      </c>
      <c r="Q302" s="3">
        <f t="shared" si="43"/>
        <v>2.4494897427831779</v>
      </c>
    </row>
    <row r="303" spans="1:17">
      <c r="A303" t="s">
        <v>336</v>
      </c>
      <c r="B303" s="1">
        <v>45486</v>
      </c>
      <c r="C303" t="s">
        <v>22</v>
      </c>
      <c r="D303" t="s">
        <v>50</v>
      </c>
      <c r="E303" t="s">
        <v>34</v>
      </c>
      <c r="F303">
        <v>19</v>
      </c>
      <c r="G303">
        <v>1822.54</v>
      </c>
      <c r="H303">
        <v>34628.26</v>
      </c>
      <c r="I303" t="str">
        <f t="shared" si="44"/>
        <v>Bulk Order</v>
      </c>
      <c r="J303" t="str">
        <f t="shared" si="36"/>
        <v>CityStore - Mumbai</v>
      </c>
      <c r="K303">
        <f t="shared" si="37"/>
        <v>4</v>
      </c>
      <c r="L303" t="str">
        <f t="shared" si="38"/>
        <v>Toy</v>
      </c>
      <c r="M303" s="3" t="str">
        <f t="shared" si="39"/>
        <v>RD130</v>
      </c>
      <c r="N303" s="3" t="str">
        <f t="shared" si="40"/>
        <v>mumbai</v>
      </c>
      <c r="O303" s="3" t="str">
        <f t="shared" si="41"/>
        <v>MUMBAI</v>
      </c>
      <c r="P303" s="3" t="str">
        <f t="shared" si="42"/>
        <v>Mumbai</v>
      </c>
      <c r="Q303" s="3">
        <f t="shared" si="43"/>
        <v>4.358898943540674</v>
      </c>
    </row>
    <row r="304" spans="1:17">
      <c r="A304" t="s">
        <v>337</v>
      </c>
      <c r="B304" s="1">
        <v>45293</v>
      </c>
      <c r="C304" t="s">
        <v>39</v>
      </c>
      <c r="D304" t="s">
        <v>42</v>
      </c>
      <c r="E304" t="s">
        <v>30</v>
      </c>
      <c r="F304">
        <v>19</v>
      </c>
      <c r="G304">
        <v>463.03</v>
      </c>
      <c r="H304">
        <v>8797.57</v>
      </c>
      <c r="I304" t="str">
        <f t="shared" si="44"/>
        <v>Bulk Order</v>
      </c>
      <c r="J304" t="str">
        <f t="shared" si="36"/>
        <v>Trendz - Pune</v>
      </c>
      <c r="K304">
        <f t="shared" si="37"/>
        <v>14</v>
      </c>
      <c r="L304" t="str">
        <f t="shared" si="38"/>
        <v>Hom</v>
      </c>
      <c r="M304" s="3" t="str">
        <f t="shared" si="39"/>
        <v>RD130</v>
      </c>
      <c r="N304" s="3" t="str">
        <f t="shared" si="40"/>
        <v>pune</v>
      </c>
      <c r="O304" s="3" t="str">
        <f t="shared" si="41"/>
        <v>PUNE</v>
      </c>
      <c r="P304" s="3" t="str">
        <f t="shared" si="42"/>
        <v>Pune</v>
      </c>
      <c r="Q304" s="3">
        <f t="shared" si="43"/>
        <v>4.358898943540674</v>
      </c>
    </row>
    <row r="305" spans="1:17">
      <c r="A305" t="s">
        <v>338</v>
      </c>
      <c r="B305" s="1">
        <v>45491</v>
      </c>
      <c r="C305" t="s">
        <v>39</v>
      </c>
      <c r="D305" t="s">
        <v>26</v>
      </c>
      <c r="E305" t="s">
        <v>27</v>
      </c>
      <c r="F305">
        <v>5</v>
      </c>
      <c r="G305">
        <v>420.55</v>
      </c>
      <c r="H305">
        <v>2102.75</v>
      </c>
      <c r="I305" t="str">
        <f t="shared" si="44"/>
        <v>Normal Order</v>
      </c>
      <c r="J305" t="str">
        <f t="shared" si="36"/>
        <v>Trendz - Delhi</v>
      </c>
      <c r="K305">
        <f t="shared" si="37"/>
        <v>5</v>
      </c>
      <c r="L305" t="str">
        <f t="shared" si="38"/>
        <v>Boo</v>
      </c>
      <c r="M305" s="3" t="str">
        <f t="shared" si="39"/>
        <v>RD130</v>
      </c>
      <c r="N305" s="3" t="str">
        <f t="shared" si="40"/>
        <v>delhi</v>
      </c>
      <c r="O305" s="3" t="str">
        <f t="shared" si="41"/>
        <v>DELHI</v>
      </c>
      <c r="P305" s="3" t="str">
        <f t="shared" si="42"/>
        <v>Delhi</v>
      </c>
      <c r="Q305" s="3">
        <f t="shared" si="43"/>
        <v>2.2360679774997898</v>
      </c>
    </row>
    <row r="306" spans="1:17">
      <c r="A306" t="s">
        <v>339</v>
      </c>
      <c r="B306" s="1">
        <v>45427</v>
      </c>
      <c r="C306" t="s">
        <v>25</v>
      </c>
      <c r="D306" t="s">
        <v>42</v>
      </c>
      <c r="E306" t="s">
        <v>34</v>
      </c>
      <c r="F306">
        <v>6</v>
      </c>
      <c r="G306">
        <v>1495.88</v>
      </c>
      <c r="H306">
        <v>8975.2800000000007</v>
      </c>
      <c r="I306" t="str">
        <f t="shared" si="44"/>
        <v>Normal Order</v>
      </c>
      <c r="J306" t="str">
        <f t="shared" si="36"/>
        <v>QuickBuy - Pune</v>
      </c>
      <c r="K306">
        <f t="shared" si="37"/>
        <v>4</v>
      </c>
      <c r="L306" t="str">
        <f t="shared" si="38"/>
        <v>Toy</v>
      </c>
      <c r="M306" s="3" t="str">
        <f t="shared" si="39"/>
        <v>RD130</v>
      </c>
      <c r="N306" s="3" t="str">
        <f t="shared" si="40"/>
        <v>pune</v>
      </c>
      <c r="O306" s="3" t="str">
        <f t="shared" si="41"/>
        <v>PUNE</v>
      </c>
      <c r="P306" s="3" t="str">
        <f t="shared" si="42"/>
        <v>Pune</v>
      </c>
      <c r="Q306" s="3">
        <f t="shared" si="43"/>
        <v>2.4494897427831779</v>
      </c>
    </row>
    <row r="307" spans="1:17">
      <c r="A307" t="s">
        <v>340</v>
      </c>
      <c r="B307" s="1">
        <v>45524</v>
      </c>
      <c r="C307" t="s">
        <v>22</v>
      </c>
      <c r="D307" t="s">
        <v>42</v>
      </c>
      <c r="E307" t="s">
        <v>27</v>
      </c>
      <c r="F307">
        <v>20</v>
      </c>
      <c r="G307">
        <v>1506.41</v>
      </c>
      <c r="H307">
        <v>30128.2</v>
      </c>
      <c r="I307" t="str">
        <f t="shared" si="44"/>
        <v>Bulk Order</v>
      </c>
      <c r="J307" t="str">
        <f t="shared" si="36"/>
        <v>CityStore - Pune</v>
      </c>
      <c r="K307">
        <f t="shared" si="37"/>
        <v>5</v>
      </c>
      <c r="L307" t="str">
        <f t="shared" si="38"/>
        <v>Boo</v>
      </c>
      <c r="M307" s="3" t="str">
        <f t="shared" si="39"/>
        <v>RD130</v>
      </c>
      <c r="N307" s="3" t="str">
        <f t="shared" si="40"/>
        <v>pune</v>
      </c>
      <c r="O307" s="3" t="str">
        <f t="shared" si="41"/>
        <v>PUNE</v>
      </c>
      <c r="P307" s="3" t="str">
        <f t="shared" si="42"/>
        <v>Pune</v>
      </c>
      <c r="Q307" s="3">
        <f t="shared" si="43"/>
        <v>4.4721359549995796</v>
      </c>
    </row>
    <row r="308" spans="1:17">
      <c r="A308" t="s">
        <v>341</v>
      </c>
      <c r="B308" s="1">
        <v>45438</v>
      </c>
      <c r="C308" t="s">
        <v>39</v>
      </c>
      <c r="D308" t="s">
        <v>26</v>
      </c>
      <c r="E308" t="s">
        <v>27</v>
      </c>
      <c r="F308">
        <v>20</v>
      </c>
      <c r="G308">
        <v>1520.94</v>
      </c>
      <c r="H308">
        <v>30418.799999999999</v>
      </c>
      <c r="I308" t="str">
        <f t="shared" si="44"/>
        <v>Bulk Order</v>
      </c>
      <c r="J308" t="str">
        <f t="shared" si="36"/>
        <v>Trendz - Delhi</v>
      </c>
      <c r="K308">
        <f t="shared" si="37"/>
        <v>5</v>
      </c>
      <c r="L308" t="str">
        <f t="shared" si="38"/>
        <v>Boo</v>
      </c>
      <c r="M308" s="3" t="str">
        <f t="shared" si="39"/>
        <v>RD130</v>
      </c>
      <c r="N308" s="3" t="str">
        <f t="shared" si="40"/>
        <v>delhi</v>
      </c>
      <c r="O308" s="3" t="str">
        <f t="shared" si="41"/>
        <v>DELHI</v>
      </c>
      <c r="P308" s="3" t="str">
        <f t="shared" si="42"/>
        <v>Delhi</v>
      </c>
      <c r="Q308" s="3">
        <f t="shared" si="43"/>
        <v>4.4721359549995796</v>
      </c>
    </row>
    <row r="309" spans="1:17">
      <c r="A309" t="s">
        <v>342</v>
      </c>
      <c r="B309" s="1">
        <v>45508</v>
      </c>
      <c r="C309" t="s">
        <v>39</v>
      </c>
      <c r="D309" t="s">
        <v>19</v>
      </c>
      <c r="E309" t="s">
        <v>34</v>
      </c>
      <c r="F309">
        <v>11</v>
      </c>
      <c r="G309">
        <v>1833.16</v>
      </c>
      <c r="H309">
        <v>20164.759999999998</v>
      </c>
      <c r="I309" t="str">
        <f t="shared" si="44"/>
        <v>Bulk Order</v>
      </c>
      <c r="J309" t="str">
        <f t="shared" si="36"/>
        <v>Trendz - Bangalore</v>
      </c>
      <c r="K309">
        <f t="shared" si="37"/>
        <v>4</v>
      </c>
      <c r="L309" t="str">
        <f t="shared" si="38"/>
        <v>Toy</v>
      </c>
      <c r="M309" s="3" t="str">
        <f t="shared" si="39"/>
        <v>RD130</v>
      </c>
      <c r="N309" s="3" t="str">
        <f t="shared" si="40"/>
        <v>bangalore</v>
      </c>
      <c r="O309" s="3" t="str">
        <f t="shared" si="41"/>
        <v>BANGALORE</v>
      </c>
      <c r="P309" s="3" t="str">
        <f t="shared" si="42"/>
        <v>Bangalore</v>
      </c>
      <c r="Q309" s="3">
        <f t="shared" si="43"/>
        <v>3.3166247903553998</v>
      </c>
    </row>
    <row r="310" spans="1:17">
      <c r="A310" t="s">
        <v>343</v>
      </c>
      <c r="B310" s="1">
        <v>45648</v>
      </c>
      <c r="C310" t="s">
        <v>39</v>
      </c>
      <c r="D310" t="s">
        <v>29</v>
      </c>
      <c r="E310" t="s">
        <v>44</v>
      </c>
      <c r="F310">
        <v>19</v>
      </c>
      <c r="G310">
        <v>1406.47</v>
      </c>
      <c r="H310">
        <v>26722.93</v>
      </c>
      <c r="I310" t="str">
        <f t="shared" si="44"/>
        <v>Bulk Order</v>
      </c>
      <c r="J310" t="str">
        <f t="shared" si="36"/>
        <v>Trendz - Kolkata</v>
      </c>
      <c r="K310">
        <f t="shared" si="37"/>
        <v>9</v>
      </c>
      <c r="L310" t="str">
        <f t="shared" si="38"/>
        <v>Gro</v>
      </c>
      <c r="M310" s="3" t="str">
        <f t="shared" si="39"/>
        <v>RD130</v>
      </c>
      <c r="N310" s="3" t="str">
        <f t="shared" si="40"/>
        <v>kolkata</v>
      </c>
      <c r="O310" s="3" t="str">
        <f t="shared" si="41"/>
        <v>KOLKATA</v>
      </c>
      <c r="P310" s="3" t="str">
        <f t="shared" si="42"/>
        <v>Kolkata</v>
      </c>
      <c r="Q310" s="3">
        <f t="shared" si="43"/>
        <v>4.358898943540674</v>
      </c>
    </row>
    <row r="311" spans="1:17">
      <c r="A311" t="s">
        <v>344</v>
      </c>
      <c r="B311" s="1">
        <v>45576</v>
      </c>
      <c r="C311" t="s">
        <v>32</v>
      </c>
      <c r="D311" t="s">
        <v>33</v>
      </c>
      <c r="E311" t="s">
        <v>27</v>
      </c>
      <c r="F311">
        <v>2</v>
      </c>
      <c r="G311">
        <v>1422.35</v>
      </c>
      <c r="H311">
        <v>2844.7</v>
      </c>
      <c r="I311" t="str">
        <f t="shared" si="44"/>
        <v>Normal Order</v>
      </c>
      <c r="J311" t="str">
        <f t="shared" si="36"/>
        <v>MegaMart - Chennai</v>
      </c>
      <c r="K311">
        <f t="shared" si="37"/>
        <v>5</v>
      </c>
      <c r="L311" t="str">
        <f t="shared" si="38"/>
        <v>Boo</v>
      </c>
      <c r="M311" s="3" t="str">
        <f t="shared" si="39"/>
        <v>RD130</v>
      </c>
      <c r="N311" s="3" t="str">
        <f t="shared" si="40"/>
        <v>chennai</v>
      </c>
      <c r="O311" s="3" t="str">
        <f t="shared" si="41"/>
        <v>CHENNAI</v>
      </c>
      <c r="P311" s="3" t="str">
        <f t="shared" si="42"/>
        <v>Chennai</v>
      </c>
      <c r="Q311" s="3">
        <f t="shared" si="43"/>
        <v>1.4142135623730951</v>
      </c>
    </row>
    <row r="312" spans="1:17">
      <c r="A312" t="s">
        <v>345</v>
      </c>
      <c r="B312" s="1">
        <v>45630</v>
      </c>
      <c r="C312" t="s">
        <v>32</v>
      </c>
      <c r="D312" t="s">
        <v>26</v>
      </c>
      <c r="E312" t="s">
        <v>44</v>
      </c>
      <c r="F312">
        <v>1</v>
      </c>
      <c r="G312">
        <v>823.43</v>
      </c>
      <c r="H312">
        <v>823.43</v>
      </c>
      <c r="I312" t="str">
        <f t="shared" si="44"/>
        <v>Normal Order</v>
      </c>
      <c r="J312" t="str">
        <f t="shared" si="36"/>
        <v>MegaMart - Delhi</v>
      </c>
      <c r="K312">
        <f t="shared" si="37"/>
        <v>9</v>
      </c>
      <c r="L312" t="str">
        <f t="shared" si="38"/>
        <v>Gro</v>
      </c>
      <c r="M312" s="3" t="str">
        <f t="shared" si="39"/>
        <v>RD131</v>
      </c>
      <c r="N312" s="3" t="str">
        <f t="shared" si="40"/>
        <v>delhi</v>
      </c>
      <c r="O312" s="3" t="str">
        <f t="shared" si="41"/>
        <v>DELHI</v>
      </c>
      <c r="P312" s="3" t="str">
        <f t="shared" si="42"/>
        <v>Delhi</v>
      </c>
      <c r="Q312" s="3">
        <f t="shared" si="43"/>
        <v>1</v>
      </c>
    </row>
    <row r="313" spans="1:17">
      <c r="A313" t="s">
        <v>346</v>
      </c>
      <c r="B313" s="1">
        <v>45541</v>
      </c>
      <c r="C313" t="s">
        <v>18</v>
      </c>
      <c r="D313" t="s">
        <v>37</v>
      </c>
      <c r="E313" t="s">
        <v>23</v>
      </c>
      <c r="F313">
        <v>3</v>
      </c>
      <c r="G313">
        <v>516.70000000000005</v>
      </c>
      <c r="H313">
        <v>1550.1</v>
      </c>
      <c r="I313" t="str">
        <f t="shared" si="44"/>
        <v>Normal Order</v>
      </c>
      <c r="J313" t="str">
        <f t="shared" si="36"/>
        <v>ValueShop - Hyderabad</v>
      </c>
      <c r="K313">
        <f t="shared" si="37"/>
        <v>8</v>
      </c>
      <c r="L313" t="str">
        <f t="shared" si="38"/>
        <v>Clo</v>
      </c>
      <c r="M313" s="3" t="str">
        <f t="shared" si="39"/>
        <v>RD131</v>
      </c>
      <c r="N313" s="3" t="str">
        <f t="shared" si="40"/>
        <v>hyderabad</v>
      </c>
      <c r="O313" s="3" t="str">
        <f t="shared" si="41"/>
        <v>HYDERABAD</v>
      </c>
      <c r="P313" s="3" t="str">
        <f t="shared" si="42"/>
        <v>Hyderabad</v>
      </c>
      <c r="Q313" s="3">
        <f t="shared" si="43"/>
        <v>1.7320508075688772</v>
      </c>
    </row>
    <row r="314" spans="1:17">
      <c r="A314" t="s">
        <v>347</v>
      </c>
      <c r="B314" s="1">
        <v>45371</v>
      </c>
      <c r="C314" t="s">
        <v>22</v>
      </c>
      <c r="D314" t="s">
        <v>19</v>
      </c>
      <c r="E314" t="s">
        <v>30</v>
      </c>
      <c r="F314">
        <v>2</v>
      </c>
      <c r="G314">
        <v>677.15</v>
      </c>
      <c r="H314">
        <v>1354.3</v>
      </c>
      <c r="I314" t="str">
        <f t="shared" si="44"/>
        <v>Normal Order</v>
      </c>
      <c r="J314" t="str">
        <f t="shared" si="36"/>
        <v>CityStore - Bangalore</v>
      </c>
      <c r="K314">
        <f t="shared" si="37"/>
        <v>14</v>
      </c>
      <c r="L314" t="str">
        <f t="shared" si="38"/>
        <v>Hom</v>
      </c>
      <c r="M314" s="3" t="str">
        <f t="shared" si="39"/>
        <v>RD131</v>
      </c>
      <c r="N314" s="3" t="str">
        <f t="shared" si="40"/>
        <v>bangalore</v>
      </c>
      <c r="O314" s="3" t="str">
        <f t="shared" si="41"/>
        <v>BANGALORE</v>
      </c>
      <c r="P314" s="3" t="str">
        <f t="shared" si="42"/>
        <v>Bangalore</v>
      </c>
      <c r="Q314" s="3">
        <f t="shared" si="43"/>
        <v>1.4142135623730951</v>
      </c>
    </row>
    <row r="315" spans="1:17">
      <c r="A315" t="s">
        <v>348</v>
      </c>
      <c r="B315" s="1">
        <v>45389</v>
      </c>
      <c r="C315" t="s">
        <v>39</v>
      </c>
      <c r="D315" t="s">
        <v>42</v>
      </c>
      <c r="E315" t="s">
        <v>20</v>
      </c>
      <c r="F315">
        <v>19</v>
      </c>
      <c r="G315">
        <v>601.97</v>
      </c>
      <c r="H315">
        <v>11437.43</v>
      </c>
      <c r="I315" t="str">
        <f t="shared" si="44"/>
        <v>Bulk Order</v>
      </c>
      <c r="J315" t="str">
        <f t="shared" si="36"/>
        <v>Trendz - Pune</v>
      </c>
      <c r="K315">
        <f t="shared" si="37"/>
        <v>11</v>
      </c>
      <c r="L315" t="str">
        <f t="shared" si="38"/>
        <v>Ele</v>
      </c>
      <c r="M315" s="3" t="str">
        <f t="shared" si="39"/>
        <v>RD131</v>
      </c>
      <c r="N315" s="3" t="str">
        <f t="shared" si="40"/>
        <v>pune</v>
      </c>
      <c r="O315" s="3" t="str">
        <f t="shared" si="41"/>
        <v>PUNE</v>
      </c>
      <c r="P315" s="3" t="str">
        <f t="shared" si="42"/>
        <v>Pune</v>
      </c>
      <c r="Q315" s="3">
        <f t="shared" si="43"/>
        <v>4.358898943540674</v>
      </c>
    </row>
    <row r="316" spans="1:17">
      <c r="A316" t="s">
        <v>349</v>
      </c>
      <c r="B316" s="1">
        <v>45443</v>
      </c>
      <c r="C316" t="s">
        <v>22</v>
      </c>
      <c r="D316" t="s">
        <v>50</v>
      </c>
      <c r="E316" t="s">
        <v>30</v>
      </c>
      <c r="F316">
        <v>9</v>
      </c>
      <c r="G316">
        <v>959.19</v>
      </c>
      <c r="H316">
        <v>8632.7100000000009</v>
      </c>
      <c r="I316" t="str">
        <f t="shared" si="44"/>
        <v>Normal Order</v>
      </c>
      <c r="J316" t="str">
        <f t="shared" si="36"/>
        <v>CityStore - Mumbai</v>
      </c>
      <c r="K316">
        <f t="shared" si="37"/>
        <v>14</v>
      </c>
      <c r="L316" t="str">
        <f t="shared" si="38"/>
        <v>Hom</v>
      </c>
      <c r="M316" s="3" t="str">
        <f t="shared" si="39"/>
        <v>RD131</v>
      </c>
      <c r="N316" s="3" t="str">
        <f t="shared" si="40"/>
        <v>mumbai</v>
      </c>
      <c r="O316" s="3" t="str">
        <f t="shared" si="41"/>
        <v>MUMBAI</v>
      </c>
      <c r="P316" s="3" t="str">
        <f t="shared" si="42"/>
        <v>Mumbai</v>
      </c>
      <c r="Q316" s="3">
        <f t="shared" si="43"/>
        <v>3</v>
      </c>
    </row>
    <row r="317" spans="1:17">
      <c r="A317" t="s">
        <v>350</v>
      </c>
      <c r="B317" s="1">
        <v>45403</v>
      </c>
      <c r="C317" t="s">
        <v>18</v>
      </c>
      <c r="D317" t="s">
        <v>26</v>
      </c>
      <c r="E317" t="s">
        <v>30</v>
      </c>
      <c r="F317">
        <v>7</v>
      </c>
      <c r="G317">
        <v>1315.01</v>
      </c>
      <c r="H317">
        <v>9205.07</v>
      </c>
      <c r="I317" t="str">
        <f t="shared" si="44"/>
        <v>Normal Order</v>
      </c>
      <c r="J317" t="str">
        <f t="shared" si="36"/>
        <v>ValueShop - Delhi</v>
      </c>
      <c r="K317">
        <f t="shared" si="37"/>
        <v>14</v>
      </c>
      <c r="L317" t="str">
        <f t="shared" si="38"/>
        <v>Hom</v>
      </c>
      <c r="M317" s="3" t="str">
        <f t="shared" si="39"/>
        <v>RD131</v>
      </c>
      <c r="N317" s="3" t="str">
        <f t="shared" si="40"/>
        <v>delhi</v>
      </c>
      <c r="O317" s="3" t="str">
        <f t="shared" si="41"/>
        <v>DELHI</v>
      </c>
      <c r="P317" s="3" t="str">
        <f t="shared" si="42"/>
        <v>Delhi</v>
      </c>
      <c r="Q317" s="3">
        <f t="shared" si="43"/>
        <v>2.6457513110645907</v>
      </c>
    </row>
    <row r="318" spans="1:17">
      <c r="A318" t="s">
        <v>351</v>
      </c>
      <c r="B318" s="1">
        <v>45321</v>
      </c>
      <c r="C318" t="s">
        <v>25</v>
      </c>
      <c r="D318" t="s">
        <v>19</v>
      </c>
      <c r="E318" t="s">
        <v>27</v>
      </c>
      <c r="F318">
        <v>19</v>
      </c>
      <c r="G318">
        <v>651.41999999999996</v>
      </c>
      <c r="H318">
        <v>12376.98</v>
      </c>
      <c r="I318" t="str">
        <f t="shared" si="44"/>
        <v>Bulk Order</v>
      </c>
      <c r="J318" t="str">
        <f t="shared" si="36"/>
        <v>QuickBuy - Bangalore</v>
      </c>
      <c r="K318">
        <f t="shared" si="37"/>
        <v>5</v>
      </c>
      <c r="L318" t="str">
        <f t="shared" si="38"/>
        <v>Boo</v>
      </c>
      <c r="M318" s="3" t="str">
        <f t="shared" si="39"/>
        <v>RD131</v>
      </c>
      <c r="N318" s="3" t="str">
        <f t="shared" si="40"/>
        <v>bangalore</v>
      </c>
      <c r="O318" s="3" t="str">
        <f t="shared" si="41"/>
        <v>BANGALORE</v>
      </c>
      <c r="P318" s="3" t="str">
        <f t="shared" si="42"/>
        <v>Bangalore</v>
      </c>
      <c r="Q318" s="3">
        <f t="shared" si="43"/>
        <v>4.358898943540674</v>
      </c>
    </row>
    <row r="319" spans="1:17">
      <c r="A319" t="s">
        <v>352</v>
      </c>
      <c r="B319" s="1">
        <v>45588</v>
      </c>
      <c r="C319" t="s">
        <v>18</v>
      </c>
      <c r="D319" t="s">
        <v>19</v>
      </c>
      <c r="E319" t="s">
        <v>44</v>
      </c>
      <c r="F319">
        <v>14</v>
      </c>
      <c r="G319">
        <v>751.31</v>
      </c>
      <c r="H319">
        <v>10518.34</v>
      </c>
      <c r="I319" t="str">
        <f t="shared" si="44"/>
        <v>Bulk Order</v>
      </c>
      <c r="J319" t="str">
        <f t="shared" si="36"/>
        <v>ValueShop - Bangalore</v>
      </c>
      <c r="K319">
        <f t="shared" si="37"/>
        <v>9</v>
      </c>
      <c r="L319" t="str">
        <f t="shared" si="38"/>
        <v>Gro</v>
      </c>
      <c r="M319" s="3" t="str">
        <f t="shared" si="39"/>
        <v>RD131</v>
      </c>
      <c r="N319" s="3" t="str">
        <f t="shared" si="40"/>
        <v>bangalore</v>
      </c>
      <c r="O319" s="3" t="str">
        <f t="shared" si="41"/>
        <v>BANGALORE</v>
      </c>
      <c r="P319" s="3" t="str">
        <f t="shared" si="42"/>
        <v>Bangalore</v>
      </c>
      <c r="Q319" s="3">
        <f t="shared" si="43"/>
        <v>3.7416573867739413</v>
      </c>
    </row>
    <row r="320" spans="1:17">
      <c r="A320" t="s">
        <v>353</v>
      </c>
      <c r="B320" s="1">
        <v>45569</v>
      </c>
      <c r="C320" t="s">
        <v>39</v>
      </c>
      <c r="D320" t="s">
        <v>42</v>
      </c>
      <c r="E320" t="s">
        <v>44</v>
      </c>
      <c r="F320">
        <v>20</v>
      </c>
      <c r="G320">
        <v>1771.48</v>
      </c>
      <c r="H320">
        <v>35429.599999999999</v>
      </c>
      <c r="I320" t="str">
        <f t="shared" si="44"/>
        <v>Bulk Order</v>
      </c>
      <c r="J320" t="str">
        <f t="shared" si="36"/>
        <v>Trendz - Pune</v>
      </c>
      <c r="K320">
        <f t="shared" si="37"/>
        <v>9</v>
      </c>
      <c r="L320" t="str">
        <f t="shared" si="38"/>
        <v>Gro</v>
      </c>
      <c r="M320" s="3" t="str">
        <f t="shared" si="39"/>
        <v>RD131</v>
      </c>
      <c r="N320" s="3" t="str">
        <f t="shared" si="40"/>
        <v>pune</v>
      </c>
      <c r="O320" s="3" t="str">
        <f t="shared" si="41"/>
        <v>PUNE</v>
      </c>
      <c r="P320" s="3" t="str">
        <f t="shared" si="42"/>
        <v>Pune</v>
      </c>
      <c r="Q320" s="3">
        <f t="shared" si="43"/>
        <v>4.4721359549995796</v>
      </c>
    </row>
    <row r="321" spans="1:17">
      <c r="A321" t="s">
        <v>354</v>
      </c>
      <c r="B321" s="1">
        <v>45323</v>
      </c>
      <c r="C321" t="s">
        <v>25</v>
      </c>
      <c r="D321" t="s">
        <v>33</v>
      </c>
      <c r="E321" t="s">
        <v>34</v>
      </c>
      <c r="F321">
        <v>1</v>
      </c>
      <c r="G321">
        <v>958.71</v>
      </c>
      <c r="H321">
        <v>958.71</v>
      </c>
      <c r="I321" t="str">
        <f t="shared" si="44"/>
        <v>Normal Order</v>
      </c>
      <c r="J321" t="str">
        <f t="shared" si="36"/>
        <v>QuickBuy - Chennai</v>
      </c>
      <c r="K321">
        <f t="shared" si="37"/>
        <v>4</v>
      </c>
      <c r="L321" t="str">
        <f t="shared" si="38"/>
        <v>Toy</v>
      </c>
      <c r="M321" s="3" t="str">
        <f t="shared" si="39"/>
        <v>RD131</v>
      </c>
      <c r="N321" s="3" t="str">
        <f t="shared" si="40"/>
        <v>chennai</v>
      </c>
      <c r="O321" s="3" t="str">
        <f t="shared" si="41"/>
        <v>CHENNAI</v>
      </c>
      <c r="P321" s="3" t="str">
        <f t="shared" si="42"/>
        <v>Chennai</v>
      </c>
      <c r="Q321" s="3">
        <f t="shared" si="43"/>
        <v>1</v>
      </c>
    </row>
    <row r="322" spans="1:17">
      <c r="A322" t="s">
        <v>355</v>
      </c>
      <c r="B322" s="1">
        <v>45452</v>
      </c>
      <c r="C322" t="s">
        <v>25</v>
      </c>
      <c r="D322" t="s">
        <v>50</v>
      </c>
      <c r="E322" t="s">
        <v>20</v>
      </c>
      <c r="F322">
        <v>16</v>
      </c>
      <c r="G322">
        <v>1615.49</v>
      </c>
      <c r="H322">
        <v>25847.84</v>
      </c>
      <c r="I322" t="str">
        <f t="shared" si="44"/>
        <v>Bulk Order</v>
      </c>
      <c r="J322" t="str">
        <f t="shared" ref="J322:J385" si="45">_xlfn.CONCAT(C322, " - ", D322)</f>
        <v>QuickBuy - Mumbai</v>
      </c>
      <c r="K322">
        <f t="shared" ref="K322:K385" si="46">LEN(E322)</f>
        <v>11</v>
      </c>
      <c r="L322" t="str">
        <f t="shared" ref="L322:L385" si="47">LEFT(E322, 3)</f>
        <v>Ele</v>
      </c>
      <c r="M322" s="3" t="str">
        <f t="shared" ref="M322:M385" si="48">MID(A322, 2, 5)</f>
        <v>RD132</v>
      </c>
      <c r="N322" s="3" t="str">
        <f t="shared" ref="N322:N385" si="49">LOWER(D322)</f>
        <v>mumbai</v>
      </c>
      <c r="O322" s="3" t="str">
        <f t="shared" ref="O322:O385" si="50">UPPER(D322)</f>
        <v>MUMBAI</v>
      </c>
      <c r="P322" s="3" t="str">
        <f t="shared" ref="P322:P385" si="51">PROPER(D322)</f>
        <v>Mumbai</v>
      </c>
      <c r="Q322" s="3">
        <f t="shared" ref="Q322:Q385" si="52">SQRT(F322)</f>
        <v>4</v>
      </c>
    </row>
    <row r="323" spans="1:17">
      <c r="A323" t="s">
        <v>356</v>
      </c>
      <c r="B323" s="1">
        <v>45321</v>
      </c>
      <c r="C323" t="s">
        <v>18</v>
      </c>
      <c r="D323" t="s">
        <v>50</v>
      </c>
      <c r="E323" t="s">
        <v>44</v>
      </c>
      <c r="F323">
        <v>18</v>
      </c>
      <c r="G323">
        <v>1458.71</v>
      </c>
      <c r="H323">
        <v>26256.78</v>
      </c>
      <c r="I323" t="str">
        <f t="shared" ref="I323:I386" si="53">IF(F323&gt;10,"Bulk Order","Normal Order")</f>
        <v>Bulk Order</v>
      </c>
      <c r="J323" t="str">
        <f t="shared" si="45"/>
        <v>ValueShop - Mumbai</v>
      </c>
      <c r="K323">
        <f t="shared" si="46"/>
        <v>9</v>
      </c>
      <c r="L323" t="str">
        <f t="shared" si="47"/>
        <v>Gro</v>
      </c>
      <c r="M323" s="3" t="str">
        <f t="shared" si="48"/>
        <v>RD132</v>
      </c>
      <c r="N323" s="3" t="str">
        <f t="shared" si="49"/>
        <v>mumbai</v>
      </c>
      <c r="O323" s="3" t="str">
        <f t="shared" si="50"/>
        <v>MUMBAI</v>
      </c>
      <c r="P323" s="3" t="str">
        <f t="shared" si="51"/>
        <v>Mumbai</v>
      </c>
      <c r="Q323" s="3">
        <f t="shared" si="52"/>
        <v>4.2426406871192848</v>
      </c>
    </row>
    <row r="324" spans="1:17">
      <c r="A324" t="s">
        <v>357</v>
      </c>
      <c r="B324" s="1">
        <v>45317</v>
      </c>
      <c r="C324" t="s">
        <v>39</v>
      </c>
      <c r="D324" t="s">
        <v>50</v>
      </c>
      <c r="E324" t="s">
        <v>34</v>
      </c>
      <c r="F324">
        <v>10</v>
      </c>
      <c r="G324">
        <v>1535.18</v>
      </c>
      <c r="H324">
        <v>15351.8</v>
      </c>
      <c r="I324" t="str">
        <f t="shared" si="53"/>
        <v>Normal Order</v>
      </c>
      <c r="J324" t="str">
        <f t="shared" si="45"/>
        <v>Trendz - Mumbai</v>
      </c>
      <c r="K324">
        <f t="shared" si="46"/>
        <v>4</v>
      </c>
      <c r="L324" t="str">
        <f t="shared" si="47"/>
        <v>Toy</v>
      </c>
      <c r="M324" s="3" t="str">
        <f t="shared" si="48"/>
        <v>RD132</v>
      </c>
      <c r="N324" s="3" t="str">
        <f t="shared" si="49"/>
        <v>mumbai</v>
      </c>
      <c r="O324" s="3" t="str">
        <f t="shared" si="50"/>
        <v>MUMBAI</v>
      </c>
      <c r="P324" s="3" t="str">
        <f t="shared" si="51"/>
        <v>Mumbai</v>
      </c>
      <c r="Q324" s="3">
        <f t="shared" si="52"/>
        <v>3.1622776601683795</v>
      </c>
    </row>
    <row r="325" spans="1:17">
      <c r="A325" t="s">
        <v>358</v>
      </c>
      <c r="B325" s="1">
        <v>45591</v>
      </c>
      <c r="C325" t="s">
        <v>25</v>
      </c>
      <c r="D325" t="s">
        <v>29</v>
      </c>
      <c r="E325" t="s">
        <v>20</v>
      </c>
      <c r="F325">
        <v>10</v>
      </c>
      <c r="G325">
        <v>674.45</v>
      </c>
      <c r="H325">
        <v>6744.5</v>
      </c>
      <c r="I325" t="str">
        <f t="shared" si="53"/>
        <v>Normal Order</v>
      </c>
      <c r="J325" t="str">
        <f t="shared" si="45"/>
        <v>QuickBuy - Kolkata</v>
      </c>
      <c r="K325">
        <f t="shared" si="46"/>
        <v>11</v>
      </c>
      <c r="L325" t="str">
        <f t="shared" si="47"/>
        <v>Ele</v>
      </c>
      <c r="M325" s="3" t="str">
        <f t="shared" si="48"/>
        <v>RD132</v>
      </c>
      <c r="N325" s="3" t="str">
        <f t="shared" si="49"/>
        <v>kolkata</v>
      </c>
      <c r="O325" s="3" t="str">
        <f t="shared" si="50"/>
        <v>KOLKATA</v>
      </c>
      <c r="P325" s="3" t="str">
        <f t="shared" si="51"/>
        <v>Kolkata</v>
      </c>
      <c r="Q325" s="3">
        <f t="shared" si="52"/>
        <v>3.1622776601683795</v>
      </c>
    </row>
    <row r="326" spans="1:17">
      <c r="A326" t="s">
        <v>359</v>
      </c>
      <c r="B326" s="1">
        <v>45536</v>
      </c>
      <c r="C326" t="s">
        <v>18</v>
      </c>
      <c r="D326" t="s">
        <v>37</v>
      </c>
      <c r="E326" t="s">
        <v>44</v>
      </c>
      <c r="F326">
        <v>16</v>
      </c>
      <c r="G326">
        <v>446.1</v>
      </c>
      <c r="H326">
        <v>7137.6</v>
      </c>
      <c r="I326" t="str">
        <f t="shared" si="53"/>
        <v>Bulk Order</v>
      </c>
      <c r="J326" t="str">
        <f t="shared" si="45"/>
        <v>ValueShop - Hyderabad</v>
      </c>
      <c r="K326">
        <f t="shared" si="46"/>
        <v>9</v>
      </c>
      <c r="L326" t="str">
        <f t="shared" si="47"/>
        <v>Gro</v>
      </c>
      <c r="M326" s="3" t="str">
        <f t="shared" si="48"/>
        <v>RD132</v>
      </c>
      <c r="N326" s="3" t="str">
        <f t="shared" si="49"/>
        <v>hyderabad</v>
      </c>
      <c r="O326" s="3" t="str">
        <f t="shared" si="50"/>
        <v>HYDERABAD</v>
      </c>
      <c r="P326" s="3" t="str">
        <f t="shared" si="51"/>
        <v>Hyderabad</v>
      </c>
      <c r="Q326" s="3">
        <f t="shared" si="52"/>
        <v>4</v>
      </c>
    </row>
    <row r="327" spans="1:17">
      <c r="A327" t="s">
        <v>360</v>
      </c>
      <c r="B327" s="1">
        <v>45549</v>
      </c>
      <c r="C327" t="s">
        <v>18</v>
      </c>
      <c r="D327" t="s">
        <v>19</v>
      </c>
      <c r="E327" t="s">
        <v>30</v>
      </c>
      <c r="F327">
        <v>8</v>
      </c>
      <c r="G327">
        <v>660.2</v>
      </c>
      <c r="H327">
        <v>5281.6</v>
      </c>
      <c r="I327" t="str">
        <f t="shared" si="53"/>
        <v>Normal Order</v>
      </c>
      <c r="J327" t="str">
        <f t="shared" si="45"/>
        <v>ValueShop - Bangalore</v>
      </c>
      <c r="K327">
        <f t="shared" si="46"/>
        <v>14</v>
      </c>
      <c r="L327" t="str">
        <f t="shared" si="47"/>
        <v>Hom</v>
      </c>
      <c r="M327" s="3" t="str">
        <f t="shared" si="48"/>
        <v>RD132</v>
      </c>
      <c r="N327" s="3" t="str">
        <f t="shared" si="49"/>
        <v>bangalore</v>
      </c>
      <c r="O327" s="3" t="str">
        <f t="shared" si="50"/>
        <v>BANGALORE</v>
      </c>
      <c r="P327" s="3" t="str">
        <f t="shared" si="51"/>
        <v>Bangalore</v>
      </c>
      <c r="Q327" s="3">
        <f t="shared" si="52"/>
        <v>2.8284271247461903</v>
      </c>
    </row>
    <row r="328" spans="1:17">
      <c r="A328" t="s">
        <v>361</v>
      </c>
      <c r="B328" s="1">
        <v>45563</v>
      </c>
      <c r="C328" t="s">
        <v>39</v>
      </c>
      <c r="D328" t="s">
        <v>37</v>
      </c>
      <c r="E328" t="s">
        <v>30</v>
      </c>
      <c r="F328">
        <v>13</v>
      </c>
      <c r="G328">
        <v>139.15</v>
      </c>
      <c r="H328">
        <v>1808.95</v>
      </c>
      <c r="I328" t="str">
        <f t="shared" si="53"/>
        <v>Bulk Order</v>
      </c>
      <c r="J328" t="str">
        <f t="shared" si="45"/>
        <v>Trendz - Hyderabad</v>
      </c>
      <c r="K328">
        <f t="shared" si="46"/>
        <v>14</v>
      </c>
      <c r="L328" t="str">
        <f t="shared" si="47"/>
        <v>Hom</v>
      </c>
      <c r="M328" s="3" t="str">
        <f t="shared" si="48"/>
        <v>RD132</v>
      </c>
      <c r="N328" s="3" t="str">
        <f t="shared" si="49"/>
        <v>hyderabad</v>
      </c>
      <c r="O328" s="3" t="str">
        <f t="shared" si="50"/>
        <v>HYDERABAD</v>
      </c>
      <c r="P328" s="3" t="str">
        <f t="shared" si="51"/>
        <v>Hyderabad</v>
      </c>
      <c r="Q328" s="3">
        <f t="shared" si="52"/>
        <v>3.6055512754639891</v>
      </c>
    </row>
    <row r="329" spans="1:17">
      <c r="A329" t="s">
        <v>362</v>
      </c>
      <c r="B329" s="1">
        <v>45372</v>
      </c>
      <c r="C329" t="s">
        <v>18</v>
      </c>
      <c r="D329" t="s">
        <v>37</v>
      </c>
      <c r="E329" t="s">
        <v>20</v>
      </c>
      <c r="F329">
        <v>10</v>
      </c>
      <c r="G329">
        <v>1734.97</v>
      </c>
      <c r="H329">
        <v>17349.7</v>
      </c>
      <c r="I329" t="str">
        <f t="shared" si="53"/>
        <v>Normal Order</v>
      </c>
      <c r="J329" t="str">
        <f t="shared" si="45"/>
        <v>ValueShop - Hyderabad</v>
      </c>
      <c r="K329">
        <f t="shared" si="46"/>
        <v>11</v>
      </c>
      <c r="L329" t="str">
        <f t="shared" si="47"/>
        <v>Ele</v>
      </c>
      <c r="M329" s="3" t="str">
        <f t="shared" si="48"/>
        <v>RD132</v>
      </c>
      <c r="N329" s="3" t="str">
        <f t="shared" si="49"/>
        <v>hyderabad</v>
      </c>
      <c r="O329" s="3" t="str">
        <f t="shared" si="50"/>
        <v>HYDERABAD</v>
      </c>
      <c r="P329" s="3" t="str">
        <f t="shared" si="51"/>
        <v>Hyderabad</v>
      </c>
      <c r="Q329" s="3">
        <f t="shared" si="52"/>
        <v>3.1622776601683795</v>
      </c>
    </row>
    <row r="330" spans="1:17">
      <c r="A330" t="s">
        <v>363</v>
      </c>
      <c r="B330" s="1">
        <v>45321</v>
      </c>
      <c r="C330" t="s">
        <v>18</v>
      </c>
      <c r="D330" t="s">
        <v>19</v>
      </c>
      <c r="E330" t="s">
        <v>20</v>
      </c>
      <c r="F330">
        <v>15</v>
      </c>
      <c r="G330">
        <v>1495.44</v>
      </c>
      <c r="H330">
        <v>22431.599999999999</v>
      </c>
      <c r="I330" t="str">
        <f t="shared" si="53"/>
        <v>Bulk Order</v>
      </c>
      <c r="J330" t="str">
        <f t="shared" si="45"/>
        <v>ValueShop - Bangalore</v>
      </c>
      <c r="K330">
        <f t="shared" si="46"/>
        <v>11</v>
      </c>
      <c r="L330" t="str">
        <f t="shared" si="47"/>
        <v>Ele</v>
      </c>
      <c r="M330" s="3" t="str">
        <f t="shared" si="48"/>
        <v>RD132</v>
      </c>
      <c r="N330" s="3" t="str">
        <f t="shared" si="49"/>
        <v>bangalore</v>
      </c>
      <c r="O330" s="3" t="str">
        <f t="shared" si="50"/>
        <v>BANGALORE</v>
      </c>
      <c r="P330" s="3" t="str">
        <f t="shared" si="51"/>
        <v>Bangalore</v>
      </c>
      <c r="Q330" s="3">
        <f t="shared" si="52"/>
        <v>3.872983346207417</v>
      </c>
    </row>
    <row r="331" spans="1:17">
      <c r="A331" t="s">
        <v>364</v>
      </c>
      <c r="B331" s="1">
        <v>45552</v>
      </c>
      <c r="C331" t="s">
        <v>18</v>
      </c>
      <c r="D331" t="s">
        <v>29</v>
      </c>
      <c r="E331" t="s">
        <v>44</v>
      </c>
      <c r="F331">
        <v>3</v>
      </c>
      <c r="G331">
        <v>81.63</v>
      </c>
      <c r="H331">
        <v>244.89</v>
      </c>
      <c r="I331" t="str">
        <f t="shared" si="53"/>
        <v>Normal Order</v>
      </c>
      <c r="J331" t="str">
        <f t="shared" si="45"/>
        <v>ValueShop - Kolkata</v>
      </c>
      <c r="K331">
        <f t="shared" si="46"/>
        <v>9</v>
      </c>
      <c r="L331" t="str">
        <f t="shared" si="47"/>
        <v>Gro</v>
      </c>
      <c r="M331" s="3" t="str">
        <f t="shared" si="48"/>
        <v>RD132</v>
      </c>
      <c r="N331" s="3" t="str">
        <f t="shared" si="49"/>
        <v>kolkata</v>
      </c>
      <c r="O331" s="3" t="str">
        <f t="shared" si="50"/>
        <v>KOLKATA</v>
      </c>
      <c r="P331" s="3" t="str">
        <f t="shared" si="51"/>
        <v>Kolkata</v>
      </c>
      <c r="Q331" s="3">
        <f t="shared" si="52"/>
        <v>1.7320508075688772</v>
      </c>
    </row>
    <row r="332" spans="1:17">
      <c r="A332" t="s">
        <v>365</v>
      </c>
      <c r="B332" s="1">
        <v>45333</v>
      </c>
      <c r="C332" t="s">
        <v>22</v>
      </c>
      <c r="D332" t="s">
        <v>50</v>
      </c>
      <c r="E332" t="s">
        <v>44</v>
      </c>
      <c r="F332">
        <v>2</v>
      </c>
      <c r="G332">
        <v>1128.96</v>
      </c>
      <c r="H332">
        <v>2257.92</v>
      </c>
      <c r="I332" t="str">
        <f t="shared" si="53"/>
        <v>Normal Order</v>
      </c>
      <c r="J332" t="str">
        <f t="shared" si="45"/>
        <v>CityStore - Mumbai</v>
      </c>
      <c r="K332">
        <f t="shared" si="46"/>
        <v>9</v>
      </c>
      <c r="L332" t="str">
        <f t="shared" si="47"/>
        <v>Gro</v>
      </c>
      <c r="M332" s="3" t="str">
        <f t="shared" si="48"/>
        <v>RD133</v>
      </c>
      <c r="N332" s="3" t="str">
        <f t="shared" si="49"/>
        <v>mumbai</v>
      </c>
      <c r="O332" s="3" t="str">
        <f t="shared" si="50"/>
        <v>MUMBAI</v>
      </c>
      <c r="P332" s="3" t="str">
        <f t="shared" si="51"/>
        <v>Mumbai</v>
      </c>
      <c r="Q332" s="3">
        <f t="shared" si="52"/>
        <v>1.4142135623730951</v>
      </c>
    </row>
    <row r="333" spans="1:17">
      <c r="A333" t="s">
        <v>366</v>
      </c>
      <c r="B333" s="1">
        <v>45387</v>
      </c>
      <c r="C333" t="s">
        <v>32</v>
      </c>
      <c r="D333" t="s">
        <v>19</v>
      </c>
      <c r="E333" t="s">
        <v>20</v>
      </c>
      <c r="F333">
        <v>6</v>
      </c>
      <c r="G333">
        <v>1188.8599999999999</v>
      </c>
      <c r="H333">
        <v>7133.16</v>
      </c>
      <c r="I333" t="str">
        <f t="shared" si="53"/>
        <v>Normal Order</v>
      </c>
      <c r="J333" t="str">
        <f t="shared" si="45"/>
        <v>MegaMart - Bangalore</v>
      </c>
      <c r="K333">
        <f t="shared" si="46"/>
        <v>11</v>
      </c>
      <c r="L333" t="str">
        <f t="shared" si="47"/>
        <v>Ele</v>
      </c>
      <c r="M333" s="3" t="str">
        <f t="shared" si="48"/>
        <v>RD133</v>
      </c>
      <c r="N333" s="3" t="str">
        <f t="shared" si="49"/>
        <v>bangalore</v>
      </c>
      <c r="O333" s="3" t="str">
        <f t="shared" si="50"/>
        <v>BANGALORE</v>
      </c>
      <c r="P333" s="3" t="str">
        <f t="shared" si="51"/>
        <v>Bangalore</v>
      </c>
      <c r="Q333" s="3">
        <f t="shared" si="52"/>
        <v>2.4494897427831779</v>
      </c>
    </row>
    <row r="334" spans="1:17">
      <c r="A334" t="s">
        <v>367</v>
      </c>
      <c r="B334" s="1">
        <v>45327</v>
      </c>
      <c r="C334" t="s">
        <v>22</v>
      </c>
      <c r="D334" t="s">
        <v>29</v>
      </c>
      <c r="E334" t="s">
        <v>27</v>
      </c>
      <c r="F334">
        <v>15</v>
      </c>
      <c r="G334">
        <v>1454.02</v>
      </c>
      <c r="H334">
        <v>21810.3</v>
      </c>
      <c r="I334" t="str">
        <f t="shared" si="53"/>
        <v>Bulk Order</v>
      </c>
      <c r="J334" t="str">
        <f t="shared" si="45"/>
        <v>CityStore - Kolkata</v>
      </c>
      <c r="K334">
        <f t="shared" si="46"/>
        <v>5</v>
      </c>
      <c r="L334" t="str">
        <f t="shared" si="47"/>
        <v>Boo</v>
      </c>
      <c r="M334" s="3" t="str">
        <f t="shared" si="48"/>
        <v>RD133</v>
      </c>
      <c r="N334" s="3" t="str">
        <f t="shared" si="49"/>
        <v>kolkata</v>
      </c>
      <c r="O334" s="3" t="str">
        <f t="shared" si="50"/>
        <v>KOLKATA</v>
      </c>
      <c r="P334" s="3" t="str">
        <f t="shared" si="51"/>
        <v>Kolkata</v>
      </c>
      <c r="Q334" s="3">
        <f t="shared" si="52"/>
        <v>3.872983346207417</v>
      </c>
    </row>
    <row r="335" spans="1:17">
      <c r="A335" t="s">
        <v>368</v>
      </c>
      <c r="B335" s="1">
        <v>45596</v>
      </c>
      <c r="C335" t="s">
        <v>18</v>
      </c>
      <c r="D335" t="s">
        <v>33</v>
      </c>
      <c r="E335" t="s">
        <v>20</v>
      </c>
      <c r="F335">
        <v>14</v>
      </c>
      <c r="G335">
        <v>625.62</v>
      </c>
      <c r="H335">
        <v>8758.68</v>
      </c>
      <c r="I335" t="str">
        <f t="shared" si="53"/>
        <v>Bulk Order</v>
      </c>
      <c r="J335" t="str">
        <f t="shared" si="45"/>
        <v>ValueShop - Chennai</v>
      </c>
      <c r="K335">
        <f t="shared" si="46"/>
        <v>11</v>
      </c>
      <c r="L335" t="str">
        <f t="shared" si="47"/>
        <v>Ele</v>
      </c>
      <c r="M335" s="3" t="str">
        <f t="shared" si="48"/>
        <v>RD133</v>
      </c>
      <c r="N335" s="3" t="str">
        <f t="shared" si="49"/>
        <v>chennai</v>
      </c>
      <c r="O335" s="3" t="str">
        <f t="shared" si="50"/>
        <v>CHENNAI</v>
      </c>
      <c r="P335" s="3" t="str">
        <f t="shared" si="51"/>
        <v>Chennai</v>
      </c>
      <c r="Q335" s="3">
        <f t="shared" si="52"/>
        <v>3.7416573867739413</v>
      </c>
    </row>
    <row r="336" spans="1:17">
      <c r="A336" t="s">
        <v>369</v>
      </c>
      <c r="B336" s="1">
        <v>45326</v>
      </c>
      <c r="C336" t="s">
        <v>32</v>
      </c>
      <c r="D336" t="s">
        <v>29</v>
      </c>
      <c r="E336" t="s">
        <v>34</v>
      </c>
      <c r="F336">
        <v>16</v>
      </c>
      <c r="G336">
        <v>432.57</v>
      </c>
      <c r="H336">
        <v>6921.12</v>
      </c>
      <c r="I336" t="str">
        <f t="shared" si="53"/>
        <v>Bulk Order</v>
      </c>
      <c r="J336" t="str">
        <f t="shared" si="45"/>
        <v>MegaMart - Kolkata</v>
      </c>
      <c r="K336">
        <f t="shared" si="46"/>
        <v>4</v>
      </c>
      <c r="L336" t="str">
        <f t="shared" si="47"/>
        <v>Toy</v>
      </c>
      <c r="M336" s="3" t="str">
        <f t="shared" si="48"/>
        <v>RD133</v>
      </c>
      <c r="N336" s="3" t="str">
        <f t="shared" si="49"/>
        <v>kolkata</v>
      </c>
      <c r="O336" s="3" t="str">
        <f t="shared" si="50"/>
        <v>KOLKATA</v>
      </c>
      <c r="P336" s="3" t="str">
        <f t="shared" si="51"/>
        <v>Kolkata</v>
      </c>
      <c r="Q336" s="3">
        <f t="shared" si="52"/>
        <v>4</v>
      </c>
    </row>
    <row r="337" spans="1:17">
      <c r="A337" t="s">
        <v>370</v>
      </c>
      <c r="B337" s="1">
        <v>45637</v>
      </c>
      <c r="C337" t="s">
        <v>25</v>
      </c>
      <c r="D337" t="s">
        <v>19</v>
      </c>
      <c r="E337" t="s">
        <v>34</v>
      </c>
      <c r="F337">
        <v>15</v>
      </c>
      <c r="G337">
        <v>498.54</v>
      </c>
      <c r="H337">
        <v>7478.1</v>
      </c>
      <c r="I337" t="str">
        <f t="shared" si="53"/>
        <v>Bulk Order</v>
      </c>
      <c r="J337" t="str">
        <f t="shared" si="45"/>
        <v>QuickBuy - Bangalore</v>
      </c>
      <c r="K337">
        <f t="shared" si="46"/>
        <v>4</v>
      </c>
      <c r="L337" t="str">
        <f t="shared" si="47"/>
        <v>Toy</v>
      </c>
      <c r="M337" s="3" t="str">
        <f t="shared" si="48"/>
        <v>RD133</v>
      </c>
      <c r="N337" s="3" t="str">
        <f t="shared" si="49"/>
        <v>bangalore</v>
      </c>
      <c r="O337" s="3" t="str">
        <f t="shared" si="50"/>
        <v>BANGALORE</v>
      </c>
      <c r="P337" s="3" t="str">
        <f t="shared" si="51"/>
        <v>Bangalore</v>
      </c>
      <c r="Q337" s="3">
        <f t="shared" si="52"/>
        <v>3.872983346207417</v>
      </c>
    </row>
    <row r="338" spans="1:17">
      <c r="A338" t="s">
        <v>371</v>
      </c>
      <c r="B338" s="1">
        <v>45412</v>
      </c>
      <c r="C338" t="s">
        <v>22</v>
      </c>
      <c r="D338" t="s">
        <v>42</v>
      </c>
      <c r="E338" t="s">
        <v>34</v>
      </c>
      <c r="F338">
        <v>7</v>
      </c>
      <c r="G338">
        <v>1161.0899999999999</v>
      </c>
      <c r="H338">
        <v>8127.6299999999992</v>
      </c>
      <c r="I338" t="str">
        <f t="shared" si="53"/>
        <v>Normal Order</v>
      </c>
      <c r="J338" t="str">
        <f t="shared" si="45"/>
        <v>CityStore - Pune</v>
      </c>
      <c r="K338">
        <f t="shared" si="46"/>
        <v>4</v>
      </c>
      <c r="L338" t="str">
        <f t="shared" si="47"/>
        <v>Toy</v>
      </c>
      <c r="M338" s="3" t="str">
        <f t="shared" si="48"/>
        <v>RD133</v>
      </c>
      <c r="N338" s="3" t="str">
        <f t="shared" si="49"/>
        <v>pune</v>
      </c>
      <c r="O338" s="3" t="str">
        <f t="shared" si="50"/>
        <v>PUNE</v>
      </c>
      <c r="P338" s="3" t="str">
        <f t="shared" si="51"/>
        <v>Pune</v>
      </c>
      <c r="Q338" s="3">
        <f t="shared" si="52"/>
        <v>2.6457513110645907</v>
      </c>
    </row>
    <row r="339" spans="1:17">
      <c r="A339" t="s">
        <v>372</v>
      </c>
      <c r="B339" s="1">
        <v>45498</v>
      </c>
      <c r="C339" t="s">
        <v>22</v>
      </c>
      <c r="D339" t="s">
        <v>29</v>
      </c>
      <c r="E339" t="s">
        <v>30</v>
      </c>
      <c r="F339">
        <v>11</v>
      </c>
      <c r="G339">
        <v>529.16999999999996</v>
      </c>
      <c r="H339">
        <v>5820.87</v>
      </c>
      <c r="I339" t="str">
        <f t="shared" si="53"/>
        <v>Bulk Order</v>
      </c>
      <c r="J339" t="str">
        <f t="shared" si="45"/>
        <v>CityStore - Kolkata</v>
      </c>
      <c r="K339">
        <f t="shared" si="46"/>
        <v>14</v>
      </c>
      <c r="L339" t="str">
        <f t="shared" si="47"/>
        <v>Hom</v>
      </c>
      <c r="M339" s="3" t="str">
        <f t="shared" si="48"/>
        <v>RD133</v>
      </c>
      <c r="N339" s="3" t="str">
        <f t="shared" si="49"/>
        <v>kolkata</v>
      </c>
      <c r="O339" s="3" t="str">
        <f t="shared" si="50"/>
        <v>KOLKATA</v>
      </c>
      <c r="P339" s="3" t="str">
        <f t="shared" si="51"/>
        <v>Kolkata</v>
      </c>
      <c r="Q339" s="3">
        <f t="shared" si="52"/>
        <v>3.3166247903553998</v>
      </c>
    </row>
    <row r="340" spans="1:17">
      <c r="A340" t="s">
        <v>373</v>
      </c>
      <c r="B340" s="1">
        <v>45353</v>
      </c>
      <c r="C340" t="s">
        <v>22</v>
      </c>
      <c r="D340" t="s">
        <v>19</v>
      </c>
      <c r="E340" t="s">
        <v>30</v>
      </c>
      <c r="F340">
        <v>20</v>
      </c>
      <c r="G340">
        <v>1123.75</v>
      </c>
      <c r="H340">
        <v>22475</v>
      </c>
      <c r="I340" t="str">
        <f t="shared" si="53"/>
        <v>Bulk Order</v>
      </c>
      <c r="J340" t="str">
        <f t="shared" si="45"/>
        <v>CityStore - Bangalore</v>
      </c>
      <c r="K340">
        <f t="shared" si="46"/>
        <v>14</v>
      </c>
      <c r="L340" t="str">
        <f t="shared" si="47"/>
        <v>Hom</v>
      </c>
      <c r="M340" s="3" t="str">
        <f t="shared" si="48"/>
        <v>RD133</v>
      </c>
      <c r="N340" s="3" t="str">
        <f t="shared" si="49"/>
        <v>bangalore</v>
      </c>
      <c r="O340" s="3" t="str">
        <f t="shared" si="50"/>
        <v>BANGALORE</v>
      </c>
      <c r="P340" s="3" t="str">
        <f t="shared" si="51"/>
        <v>Bangalore</v>
      </c>
      <c r="Q340" s="3">
        <f t="shared" si="52"/>
        <v>4.4721359549995796</v>
      </c>
    </row>
    <row r="341" spans="1:17">
      <c r="A341" t="s">
        <v>374</v>
      </c>
      <c r="B341" s="1">
        <v>45583</v>
      </c>
      <c r="C341" t="s">
        <v>39</v>
      </c>
      <c r="D341" t="s">
        <v>29</v>
      </c>
      <c r="E341" t="s">
        <v>34</v>
      </c>
      <c r="F341">
        <v>5</v>
      </c>
      <c r="G341">
        <v>1889.76</v>
      </c>
      <c r="H341">
        <v>9448.7999999999993</v>
      </c>
      <c r="I341" t="str">
        <f t="shared" si="53"/>
        <v>Normal Order</v>
      </c>
      <c r="J341" t="str">
        <f t="shared" si="45"/>
        <v>Trendz - Kolkata</v>
      </c>
      <c r="K341">
        <f t="shared" si="46"/>
        <v>4</v>
      </c>
      <c r="L341" t="str">
        <f t="shared" si="47"/>
        <v>Toy</v>
      </c>
      <c r="M341" s="3" t="str">
        <f t="shared" si="48"/>
        <v>RD133</v>
      </c>
      <c r="N341" s="3" t="str">
        <f t="shared" si="49"/>
        <v>kolkata</v>
      </c>
      <c r="O341" s="3" t="str">
        <f t="shared" si="50"/>
        <v>KOLKATA</v>
      </c>
      <c r="P341" s="3" t="str">
        <f t="shared" si="51"/>
        <v>Kolkata</v>
      </c>
      <c r="Q341" s="3">
        <f t="shared" si="52"/>
        <v>2.2360679774997898</v>
      </c>
    </row>
    <row r="342" spans="1:17">
      <c r="A342" t="s">
        <v>375</v>
      </c>
      <c r="B342" s="1">
        <v>45418</v>
      </c>
      <c r="C342" t="s">
        <v>18</v>
      </c>
      <c r="D342" t="s">
        <v>26</v>
      </c>
      <c r="E342" t="s">
        <v>34</v>
      </c>
      <c r="F342">
        <v>11</v>
      </c>
      <c r="G342">
        <v>708.25</v>
      </c>
      <c r="H342">
        <v>7790.75</v>
      </c>
      <c r="I342" t="str">
        <f t="shared" si="53"/>
        <v>Bulk Order</v>
      </c>
      <c r="J342" t="str">
        <f t="shared" si="45"/>
        <v>ValueShop - Delhi</v>
      </c>
      <c r="K342">
        <f t="shared" si="46"/>
        <v>4</v>
      </c>
      <c r="L342" t="str">
        <f t="shared" si="47"/>
        <v>Toy</v>
      </c>
      <c r="M342" s="3" t="str">
        <f t="shared" si="48"/>
        <v>RD134</v>
      </c>
      <c r="N342" s="3" t="str">
        <f t="shared" si="49"/>
        <v>delhi</v>
      </c>
      <c r="O342" s="3" t="str">
        <f t="shared" si="50"/>
        <v>DELHI</v>
      </c>
      <c r="P342" s="3" t="str">
        <f t="shared" si="51"/>
        <v>Delhi</v>
      </c>
      <c r="Q342" s="3">
        <f t="shared" si="52"/>
        <v>3.3166247903553998</v>
      </c>
    </row>
    <row r="343" spans="1:17">
      <c r="A343" t="s">
        <v>376</v>
      </c>
      <c r="B343" s="1">
        <v>45588</v>
      </c>
      <c r="C343" t="s">
        <v>25</v>
      </c>
      <c r="D343" t="s">
        <v>33</v>
      </c>
      <c r="E343" t="s">
        <v>27</v>
      </c>
      <c r="F343">
        <v>11</v>
      </c>
      <c r="G343">
        <v>1538.55</v>
      </c>
      <c r="H343">
        <v>16924.05</v>
      </c>
      <c r="I343" t="str">
        <f t="shared" si="53"/>
        <v>Bulk Order</v>
      </c>
      <c r="J343" t="str">
        <f t="shared" si="45"/>
        <v>QuickBuy - Chennai</v>
      </c>
      <c r="K343">
        <f t="shared" si="46"/>
        <v>5</v>
      </c>
      <c r="L343" t="str">
        <f t="shared" si="47"/>
        <v>Boo</v>
      </c>
      <c r="M343" s="3" t="str">
        <f t="shared" si="48"/>
        <v>RD134</v>
      </c>
      <c r="N343" s="3" t="str">
        <f t="shared" si="49"/>
        <v>chennai</v>
      </c>
      <c r="O343" s="3" t="str">
        <f t="shared" si="50"/>
        <v>CHENNAI</v>
      </c>
      <c r="P343" s="3" t="str">
        <f t="shared" si="51"/>
        <v>Chennai</v>
      </c>
      <c r="Q343" s="3">
        <f t="shared" si="52"/>
        <v>3.3166247903553998</v>
      </c>
    </row>
    <row r="344" spans="1:17">
      <c r="A344" t="s">
        <v>377</v>
      </c>
      <c r="B344" s="1">
        <v>45596</v>
      </c>
      <c r="C344" t="s">
        <v>25</v>
      </c>
      <c r="D344" t="s">
        <v>26</v>
      </c>
      <c r="E344" t="s">
        <v>20</v>
      </c>
      <c r="F344">
        <v>12</v>
      </c>
      <c r="G344">
        <v>1002.81</v>
      </c>
      <c r="H344">
        <v>12033.72</v>
      </c>
      <c r="I344" t="str">
        <f t="shared" si="53"/>
        <v>Bulk Order</v>
      </c>
      <c r="J344" t="str">
        <f t="shared" si="45"/>
        <v>QuickBuy - Delhi</v>
      </c>
      <c r="K344">
        <f t="shared" si="46"/>
        <v>11</v>
      </c>
      <c r="L344" t="str">
        <f t="shared" si="47"/>
        <v>Ele</v>
      </c>
      <c r="M344" s="3" t="str">
        <f t="shared" si="48"/>
        <v>RD134</v>
      </c>
      <c r="N344" s="3" t="str">
        <f t="shared" si="49"/>
        <v>delhi</v>
      </c>
      <c r="O344" s="3" t="str">
        <f t="shared" si="50"/>
        <v>DELHI</v>
      </c>
      <c r="P344" s="3" t="str">
        <f t="shared" si="51"/>
        <v>Delhi</v>
      </c>
      <c r="Q344" s="3">
        <f t="shared" si="52"/>
        <v>3.4641016151377544</v>
      </c>
    </row>
    <row r="345" spans="1:17">
      <c r="A345" t="s">
        <v>378</v>
      </c>
      <c r="B345" s="1">
        <v>45312</v>
      </c>
      <c r="C345" t="s">
        <v>25</v>
      </c>
      <c r="D345" t="s">
        <v>50</v>
      </c>
      <c r="E345" t="s">
        <v>30</v>
      </c>
      <c r="F345">
        <v>13</v>
      </c>
      <c r="G345">
        <v>1460.94</v>
      </c>
      <c r="H345">
        <v>18992.22</v>
      </c>
      <c r="I345" t="str">
        <f t="shared" si="53"/>
        <v>Bulk Order</v>
      </c>
      <c r="J345" t="str">
        <f t="shared" si="45"/>
        <v>QuickBuy - Mumbai</v>
      </c>
      <c r="K345">
        <f t="shared" si="46"/>
        <v>14</v>
      </c>
      <c r="L345" t="str">
        <f t="shared" si="47"/>
        <v>Hom</v>
      </c>
      <c r="M345" s="3" t="str">
        <f t="shared" si="48"/>
        <v>RD134</v>
      </c>
      <c r="N345" s="3" t="str">
        <f t="shared" si="49"/>
        <v>mumbai</v>
      </c>
      <c r="O345" s="3" t="str">
        <f t="shared" si="50"/>
        <v>MUMBAI</v>
      </c>
      <c r="P345" s="3" t="str">
        <f t="shared" si="51"/>
        <v>Mumbai</v>
      </c>
      <c r="Q345" s="3">
        <f t="shared" si="52"/>
        <v>3.6055512754639891</v>
      </c>
    </row>
    <row r="346" spans="1:17">
      <c r="A346" t="s">
        <v>379</v>
      </c>
      <c r="B346" s="1">
        <v>45609</v>
      </c>
      <c r="C346" t="s">
        <v>18</v>
      </c>
      <c r="D346" t="s">
        <v>29</v>
      </c>
      <c r="E346" t="s">
        <v>34</v>
      </c>
      <c r="F346">
        <v>5</v>
      </c>
      <c r="G346">
        <v>1492.21</v>
      </c>
      <c r="H346">
        <v>7461.05</v>
      </c>
      <c r="I346" t="str">
        <f t="shared" si="53"/>
        <v>Normal Order</v>
      </c>
      <c r="J346" t="str">
        <f t="shared" si="45"/>
        <v>ValueShop - Kolkata</v>
      </c>
      <c r="K346">
        <f t="shared" si="46"/>
        <v>4</v>
      </c>
      <c r="L346" t="str">
        <f t="shared" si="47"/>
        <v>Toy</v>
      </c>
      <c r="M346" s="3" t="str">
        <f t="shared" si="48"/>
        <v>RD134</v>
      </c>
      <c r="N346" s="3" t="str">
        <f t="shared" si="49"/>
        <v>kolkata</v>
      </c>
      <c r="O346" s="3" t="str">
        <f t="shared" si="50"/>
        <v>KOLKATA</v>
      </c>
      <c r="P346" s="3" t="str">
        <f t="shared" si="51"/>
        <v>Kolkata</v>
      </c>
      <c r="Q346" s="3">
        <f t="shared" si="52"/>
        <v>2.2360679774997898</v>
      </c>
    </row>
    <row r="347" spans="1:17">
      <c r="A347" t="s">
        <v>380</v>
      </c>
      <c r="B347" s="1">
        <v>45333</v>
      </c>
      <c r="C347" t="s">
        <v>32</v>
      </c>
      <c r="D347" t="s">
        <v>50</v>
      </c>
      <c r="E347" t="s">
        <v>27</v>
      </c>
      <c r="F347">
        <v>12</v>
      </c>
      <c r="G347">
        <v>948.62</v>
      </c>
      <c r="H347">
        <v>11383.44</v>
      </c>
      <c r="I347" t="str">
        <f t="shared" si="53"/>
        <v>Bulk Order</v>
      </c>
      <c r="J347" t="str">
        <f t="shared" si="45"/>
        <v>MegaMart - Mumbai</v>
      </c>
      <c r="K347">
        <f t="shared" si="46"/>
        <v>5</v>
      </c>
      <c r="L347" t="str">
        <f t="shared" si="47"/>
        <v>Boo</v>
      </c>
      <c r="M347" s="3" t="str">
        <f t="shared" si="48"/>
        <v>RD134</v>
      </c>
      <c r="N347" s="3" t="str">
        <f t="shared" si="49"/>
        <v>mumbai</v>
      </c>
      <c r="O347" s="3" t="str">
        <f t="shared" si="50"/>
        <v>MUMBAI</v>
      </c>
      <c r="P347" s="3" t="str">
        <f t="shared" si="51"/>
        <v>Mumbai</v>
      </c>
      <c r="Q347" s="3">
        <f t="shared" si="52"/>
        <v>3.4641016151377544</v>
      </c>
    </row>
    <row r="348" spans="1:17">
      <c r="A348" t="s">
        <v>381</v>
      </c>
      <c r="B348" s="1">
        <v>45506</v>
      </c>
      <c r="C348" t="s">
        <v>22</v>
      </c>
      <c r="D348" t="s">
        <v>29</v>
      </c>
      <c r="E348" t="s">
        <v>23</v>
      </c>
      <c r="F348">
        <v>17</v>
      </c>
      <c r="G348">
        <v>1478.91</v>
      </c>
      <c r="H348">
        <v>25141.47</v>
      </c>
      <c r="I348" t="str">
        <f t="shared" si="53"/>
        <v>Bulk Order</v>
      </c>
      <c r="J348" t="str">
        <f t="shared" si="45"/>
        <v>CityStore - Kolkata</v>
      </c>
      <c r="K348">
        <f t="shared" si="46"/>
        <v>8</v>
      </c>
      <c r="L348" t="str">
        <f t="shared" si="47"/>
        <v>Clo</v>
      </c>
      <c r="M348" s="3" t="str">
        <f t="shared" si="48"/>
        <v>RD134</v>
      </c>
      <c r="N348" s="3" t="str">
        <f t="shared" si="49"/>
        <v>kolkata</v>
      </c>
      <c r="O348" s="3" t="str">
        <f t="shared" si="50"/>
        <v>KOLKATA</v>
      </c>
      <c r="P348" s="3" t="str">
        <f t="shared" si="51"/>
        <v>Kolkata</v>
      </c>
      <c r="Q348" s="3">
        <f t="shared" si="52"/>
        <v>4.1231056256176606</v>
      </c>
    </row>
    <row r="349" spans="1:17">
      <c r="A349" t="s">
        <v>382</v>
      </c>
      <c r="B349" s="1">
        <v>45628</v>
      </c>
      <c r="C349" t="s">
        <v>18</v>
      </c>
      <c r="D349" t="s">
        <v>42</v>
      </c>
      <c r="E349" t="s">
        <v>44</v>
      </c>
      <c r="F349">
        <v>18</v>
      </c>
      <c r="G349">
        <v>736.74</v>
      </c>
      <c r="H349">
        <v>13261.32</v>
      </c>
      <c r="I349" t="str">
        <f t="shared" si="53"/>
        <v>Bulk Order</v>
      </c>
      <c r="J349" t="str">
        <f t="shared" si="45"/>
        <v>ValueShop - Pune</v>
      </c>
      <c r="K349">
        <f t="shared" si="46"/>
        <v>9</v>
      </c>
      <c r="L349" t="str">
        <f t="shared" si="47"/>
        <v>Gro</v>
      </c>
      <c r="M349" s="3" t="str">
        <f t="shared" si="48"/>
        <v>RD134</v>
      </c>
      <c r="N349" s="3" t="str">
        <f t="shared" si="49"/>
        <v>pune</v>
      </c>
      <c r="O349" s="3" t="str">
        <f t="shared" si="50"/>
        <v>PUNE</v>
      </c>
      <c r="P349" s="3" t="str">
        <f t="shared" si="51"/>
        <v>Pune</v>
      </c>
      <c r="Q349" s="3">
        <f t="shared" si="52"/>
        <v>4.2426406871192848</v>
      </c>
    </row>
    <row r="350" spans="1:17">
      <c r="A350" t="s">
        <v>383</v>
      </c>
      <c r="B350" s="1">
        <v>45590</v>
      </c>
      <c r="C350" t="s">
        <v>22</v>
      </c>
      <c r="D350" t="s">
        <v>42</v>
      </c>
      <c r="E350" t="s">
        <v>34</v>
      </c>
      <c r="F350">
        <v>4</v>
      </c>
      <c r="G350">
        <v>322.92</v>
      </c>
      <c r="H350">
        <v>1291.68</v>
      </c>
      <c r="I350" t="str">
        <f t="shared" si="53"/>
        <v>Normal Order</v>
      </c>
      <c r="J350" t="str">
        <f t="shared" si="45"/>
        <v>CityStore - Pune</v>
      </c>
      <c r="K350">
        <f t="shared" si="46"/>
        <v>4</v>
      </c>
      <c r="L350" t="str">
        <f t="shared" si="47"/>
        <v>Toy</v>
      </c>
      <c r="M350" s="3" t="str">
        <f t="shared" si="48"/>
        <v>RD134</v>
      </c>
      <c r="N350" s="3" t="str">
        <f t="shared" si="49"/>
        <v>pune</v>
      </c>
      <c r="O350" s="3" t="str">
        <f t="shared" si="50"/>
        <v>PUNE</v>
      </c>
      <c r="P350" s="3" t="str">
        <f t="shared" si="51"/>
        <v>Pune</v>
      </c>
      <c r="Q350" s="3">
        <f t="shared" si="52"/>
        <v>2</v>
      </c>
    </row>
    <row r="351" spans="1:17">
      <c r="A351" t="s">
        <v>384</v>
      </c>
      <c r="B351" s="1">
        <v>45581</v>
      </c>
      <c r="C351" t="s">
        <v>18</v>
      </c>
      <c r="D351" t="s">
        <v>42</v>
      </c>
      <c r="E351" t="s">
        <v>30</v>
      </c>
      <c r="F351">
        <v>11</v>
      </c>
      <c r="G351">
        <v>1115.77</v>
      </c>
      <c r="H351">
        <v>12273.47</v>
      </c>
      <c r="I351" t="str">
        <f t="shared" si="53"/>
        <v>Bulk Order</v>
      </c>
      <c r="J351" t="str">
        <f t="shared" si="45"/>
        <v>ValueShop - Pune</v>
      </c>
      <c r="K351">
        <f t="shared" si="46"/>
        <v>14</v>
      </c>
      <c r="L351" t="str">
        <f t="shared" si="47"/>
        <v>Hom</v>
      </c>
      <c r="M351" s="3" t="str">
        <f t="shared" si="48"/>
        <v>RD134</v>
      </c>
      <c r="N351" s="3" t="str">
        <f t="shared" si="49"/>
        <v>pune</v>
      </c>
      <c r="O351" s="3" t="str">
        <f t="shared" si="50"/>
        <v>PUNE</v>
      </c>
      <c r="P351" s="3" t="str">
        <f t="shared" si="51"/>
        <v>Pune</v>
      </c>
      <c r="Q351" s="3">
        <f t="shared" si="52"/>
        <v>3.3166247903553998</v>
      </c>
    </row>
    <row r="352" spans="1:17">
      <c r="A352" t="s">
        <v>385</v>
      </c>
      <c r="B352" s="1">
        <v>45559</v>
      </c>
      <c r="C352" t="s">
        <v>22</v>
      </c>
      <c r="D352" t="s">
        <v>33</v>
      </c>
      <c r="E352" t="s">
        <v>34</v>
      </c>
      <c r="F352">
        <v>8</v>
      </c>
      <c r="G352">
        <v>408.89</v>
      </c>
      <c r="H352">
        <v>3271.12</v>
      </c>
      <c r="I352" t="str">
        <f t="shared" si="53"/>
        <v>Normal Order</v>
      </c>
      <c r="J352" t="str">
        <f t="shared" si="45"/>
        <v>CityStore - Chennai</v>
      </c>
      <c r="K352">
        <f t="shared" si="46"/>
        <v>4</v>
      </c>
      <c r="L352" t="str">
        <f t="shared" si="47"/>
        <v>Toy</v>
      </c>
      <c r="M352" s="3" t="str">
        <f t="shared" si="48"/>
        <v>RD135</v>
      </c>
      <c r="N352" s="3" t="str">
        <f t="shared" si="49"/>
        <v>chennai</v>
      </c>
      <c r="O352" s="3" t="str">
        <f t="shared" si="50"/>
        <v>CHENNAI</v>
      </c>
      <c r="P352" s="3" t="str">
        <f t="shared" si="51"/>
        <v>Chennai</v>
      </c>
      <c r="Q352" s="3">
        <f t="shared" si="52"/>
        <v>2.8284271247461903</v>
      </c>
    </row>
    <row r="353" spans="1:17">
      <c r="A353" t="s">
        <v>386</v>
      </c>
      <c r="B353" s="1">
        <v>45453</v>
      </c>
      <c r="C353" t="s">
        <v>18</v>
      </c>
      <c r="D353" t="s">
        <v>29</v>
      </c>
      <c r="E353" t="s">
        <v>23</v>
      </c>
      <c r="F353">
        <v>15</v>
      </c>
      <c r="G353">
        <v>1784.26</v>
      </c>
      <c r="H353">
        <v>26763.9</v>
      </c>
      <c r="I353" t="str">
        <f t="shared" si="53"/>
        <v>Bulk Order</v>
      </c>
      <c r="J353" t="str">
        <f t="shared" si="45"/>
        <v>ValueShop - Kolkata</v>
      </c>
      <c r="K353">
        <f t="shared" si="46"/>
        <v>8</v>
      </c>
      <c r="L353" t="str">
        <f t="shared" si="47"/>
        <v>Clo</v>
      </c>
      <c r="M353" s="3" t="str">
        <f t="shared" si="48"/>
        <v>RD135</v>
      </c>
      <c r="N353" s="3" t="str">
        <f t="shared" si="49"/>
        <v>kolkata</v>
      </c>
      <c r="O353" s="3" t="str">
        <f t="shared" si="50"/>
        <v>KOLKATA</v>
      </c>
      <c r="P353" s="3" t="str">
        <f t="shared" si="51"/>
        <v>Kolkata</v>
      </c>
      <c r="Q353" s="3">
        <f t="shared" si="52"/>
        <v>3.872983346207417</v>
      </c>
    </row>
    <row r="354" spans="1:17">
      <c r="A354" t="s">
        <v>387</v>
      </c>
      <c r="B354" s="1">
        <v>45425</v>
      </c>
      <c r="C354" t="s">
        <v>32</v>
      </c>
      <c r="D354" t="s">
        <v>29</v>
      </c>
      <c r="E354" t="s">
        <v>20</v>
      </c>
      <c r="F354">
        <v>4</v>
      </c>
      <c r="G354">
        <v>1981.13</v>
      </c>
      <c r="H354">
        <v>7924.52</v>
      </c>
      <c r="I354" t="str">
        <f t="shared" si="53"/>
        <v>Normal Order</v>
      </c>
      <c r="J354" t="str">
        <f t="shared" si="45"/>
        <v>MegaMart - Kolkata</v>
      </c>
      <c r="K354">
        <f t="shared" si="46"/>
        <v>11</v>
      </c>
      <c r="L354" t="str">
        <f t="shared" si="47"/>
        <v>Ele</v>
      </c>
      <c r="M354" s="3" t="str">
        <f t="shared" si="48"/>
        <v>RD135</v>
      </c>
      <c r="N354" s="3" t="str">
        <f t="shared" si="49"/>
        <v>kolkata</v>
      </c>
      <c r="O354" s="3" t="str">
        <f t="shared" si="50"/>
        <v>KOLKATA</v>
      </c>
      <c r="P354" s="3" t="str">
        <f t="shared" si="51"/>
        <v>Kolkata</v>
      </c>
      <c r="Q354" s="3">
        <f t="shared" si="52"/>
        <v>2</v>
      </c>
    </row>
    <row r="355" spans="1:17">
      <c r="A355" t="s">
        <v>388</v>
      </c>
      <c r="B355" s="1">
        <v>45396</v>
      </c>
      <c r="C355" t="s">
        <v>25</v>
      </c>
      <c r="D355" t="s">
        <v>37</v>
      </c>
      <c r="E355" t="s">
        <v>30</v>
      </c>
      <c r="F355">
        <v>9</v>
      </c>
      <c r="G355">
        <v>1916.61</v>
      </c>
      <c r="H355">
        <v>17249.490000000002</v>
      </c>
      <c r="I355" t="str">
        <f t="shared" si="53"/>
        <v>Normal Order</v>
      </c>
      <c r="J355" t="str">
        <f t="shared" si="45"/>
        <v>QuickBuy - Hyderabad</v>
      </c>
      <c r="K355">
        <f t="shared" si="46"/>
        <v>14</v>
      </c>
      <c r="L355" t="str">
        <f t="shared" si="47"/>
        <v>Hom</v>
      </c>
      <c r="M355" s="3" t="str">
        <f t="shared" si="48"/>
        <v>RD135</v>
      </c>
      <c r="N355" s="3" t="str">
        <f t="shared" si="49"/>
        <v>hyderabad</v>
      </c>
      <c r="O355" s="3" t="str">
        <f t="shared" si="50"/>
        <v>HYDERABAD</v>
      </c>
      <c r="P355" s="3" t="str">
        <f t="shared" si="51"/>
        <v>Hyderabad</v>
      </c>
      <c r="Q355" s="3">
        <f t="shared" si="52"/>
        <v>3</v>
      </c>
    </row>
    <row r="356" spans="1:17">
      <c r="A356" t="s">
        <v>389</v>
      </c>
      <c r="B356" s="1">
        <v>45634</v>
      </c>
      <c r="C356" t="s">
        <v>22</v>
      </c>
      <c r="D356" t="s">
        <v>19</v>
      </c>
      <c r="E356" t="s">
        <v>20</v>
      </c>
      <c r="F356">
        <v>15</v>
      </c>
      <c r="G356">
        <v>1071.69</v>
      </c>
      <c r="H356">
        <v>16075.35</v>
      </c>
      <c r="I356" t="str">
        <f t="shared" si="53"/>
        <v>Bulk Order</v>
      </c>
      <c r="J356" t="str">
        <f t="shared" si="45"/>
        <v>CityStore - Bangalore</v>
      </c>
      <c r="K356">
        <f t="shared" si="46"/>
        <v>11</v>
      </c>
      <c r="L356" t="str">
        <f t="shared" si="47"/>
        <v>Ele</v>
      </c>
      <c r="M356" s="3" t="str">
        <f t="shared" si="48"/>
        <v>RD135</v>
      </c>
      <c r="N356" s="3" t="str">
        <f t="shared" si="49"/>
        <v>bangalore</v>
      </c>
      <c r="O356" s="3" t="str">
        <f t="shared" si="50"/>
        <v>BANGALORE</v>
      </c>
      <c r="P356" s="3" t="str">
        <f t="shared" si="51"/>
        <v>Bangalore</v>
      </c>
      <c r="Q356" s="3">
        <f t="shared" si="52"/>
        <v>3.872983346207417</v>
      </c>
    </row>
    <row r="357" spans="1:17">
      <c r="A357" t="s">
        <v>390</v>
      </c>
      <c r="B357" s="1">
        <v>45452</v>
      </c>
      <c r="C357" t="s">
        <v>18</v>
      </c>
      <c r="D357" t="s">
        <v>26</v>
      </c>
      <c r="E357" t="s">
        <v>44</v>
      </c>
      <c r="F357">
        <v>8</v>
      </c>
      <c r="G357">
        <v>1686.18</v>
      </c>
      <c r="H357">
        <v>13489.44</v>
      </c>
      <c r="I357" t="str">
        <f t="shared" si="53"/>
        <v>Normal Order</v>
      </c>
      <c r="J357" t="str">
        <f t="shared" si="45"/>
        <v>ValueShop - Delhi</v>
      </c>
      <c r="K357">
        <f t="shared" si="46"/>
        <v>9</v>
      </c>
      <c r="L357" t="str">
        <f t="shared" si="47"/>
        <v>Gro</v>
      </c>
      <c r="M357" s="3" t="str">
        <f t="shared" si="48"/>
        <v>RD135</v>
      </c>
      <c r="N357" s="3" t="str">
        <f t="shared" si="49"/>
        <v>delhi</v>
      </c>
      <c r="O357" s="3" t="str">
        <f t="shared" si="50"/>
        <v>DELHI</v>
      </c>
      <c r="P357" s="3" t="str">
        <f t="shared" si="51"/>
        <v>Delhi</v>
      </c>
      <c r="Q357" s="3">
        <f t="shared" si="52"/>
        <v>2.8284271247461903</v>
      </c>
    </row>
    <row r="358" spans="1:17">
      <c r="A358" t="s">
        <v>391</v>
      </c>
      <c r="B358" s="1">
        <v>45414</v>
      </c>
      <c r="C358" t="s">
        <v>32</v>
      </c>
      <c r="D358" t="s">
        <v>29</v>
      </c>
      <c r="E358" t="s">
        <v>27</v>
      </c>
      <c r="F358">
        <v>5</v>
      </c>
      <c r="G358">
        <v>194.94</v>
      </c>
      <c r="H358">
        <v>974.7</v>
      </c>
      <c r="I358" t="str">
        <f t="shared" si="53"/>
        <v>Normal Order</v>
      </c>
      <c r="J358" t="str">
        <f t="shared" si="45"/>
        <v>MegaMart - Kolkata</v>
      </c>
      <c r="K358">
        <f t="shared" si="46"/>
        <v>5</v>
      </c>
      <c r="L358" t="str">
        <f t="shared" si="47"/>
        <v>Boo</v>
      </c>
      <c r="M358" s="3" t="str">
        <f t="shared" si="48"/>
        <v>RD135</v>
      </c>
      <c r="N358" s="3" t="str">
        <f t="shared" si="49"/>
        <v>kolkata</v>
      </c>
      <c r="O358" s="3" t="str">
        <f t="shared" si="50"/>
        <v>KOLKATA</v>
      </c>
      <c r="P358" s="3" t="str">
        <f t="shared" si="51"/>
        <v>Kolkata</v>
      </c>
      <c r="Q358" s="3">
        <f t="shared" si="52"/>
        <v>2.2360679774997898</v>
      </c>
    </row>
    <row r="359" spans="1:17">
      <c r="A359" t="s">
        <v>392</v>
      </c>
      <c r="B359" s="1">
        <v>45427</v>
      </c>
      <c r="C359" t="s">
        <v>32</v>
      </c>
      <c r="D359" t="s">
        <v>33</v>
      </c>
      <c r="E359" t="s">
        <v>20</v>
      </c>
      <c r="F359">
        <v>4</v>
      </c>
      <c r="G359">
        <v>1645.09</v>
      </c>
      <c r="H359">
        <v>6580.36</v>
      </c>
      <c r="I359" t="str">
        <f t="shared" si="53"/>
        <v>Normal Order</v>
      </c>
      <c r="J359" t="str">
        <f t="shared" si="45"/>
        <v>MegaMart - Chennai</v>
      </c>
      <c r="K359">
        <f t="shared" si="46"/>
        <v>11</v>
      </c>
      <c r="L359" t="str">
        <f t="shared" si="47"/>
        <v>Ele</v>
      </c>
      <c r="M359" s="3" t="str">
        <f t="shared" si="48"/>
        <v>RD135</v>
      </c>
      <c r="N359" s="3" t="str">
        <f t="shared" si="49"/>
        <v>chennai</v>
      </c>
      <c r="O359" s="3" t="str">
        <f t="shared" si="50"/>
        <v>CHENNAI</v>
      </c>
      <c r="P359" s="3" t="str">
        <f t="shared" si="51"/>
        <v>Chennai</v>
      </c>
      <c r="Q359" s="3">
        <f t="shared" si="52"/>
        <v>2</v>
      </c>
    </row>
    <row r="360" spans="1:17">
      <c r="A360" t="s">
        <v>393</v>
      </c>
      <c r="B360" s="1">
        <v>45494</v>
      </c>
      <c r="C360" t="s">
        <v>25</v>
      </c>
      <c r="D360" t="s">
        <v>26</v>
      </c>
      <c r="E360" t="s">
        <v>34</v>
      </c>
      <c r="F360">
        <v>2</v>
      </c>
      <c r="G360">
        <v>144.6</v>
      </c>
      <c r="H360">
        <v>289.2</v>
      </c>
      <c r="I360" t="str">
        <f t="shared" si="53"/>
        <v>Normal Order</v>
      </c>
      <c r="J360" t="str">
        <f t="shared" si="45"/>
        <v>QuickBuy - Delhi</v>
      </c>
      <c r="K360">
        <f t="shared" si="46"/>
        <v>4</v>
      </c>
      <c r="L360" t="str">
        <f t="shared" si="47"/>
        <v>Toy</v>
      </c>
      <c r="M360" s="3" t="str">
        <f t="shared" si="48"/>
        <v>RD135</v>
      </c>
      <c r="N360" s="3" t="str">
        <f t="shared" si="49"/>
        <v>delhi</v>
      </c>
      <c r="O360" s="3" t="str">
        <f t="shared" si="50"/>
        <v>DELHI</v>
      </c>
      <c r="P360" s="3" t="str">
        <f t="shared" si="51"/>
        <v>Delhi</v>
      </c>
      <c r="Q360" s="3">
        <f t="shared" si="52"/>
        <v>1.4142135623730951</v>
      </c>
    </row>
    <row r="361" spans="1:17">
      <c r="A361" t="s">
        <v>394</v>
      </c>
      <c r="B361" s="1">
        <v>45359</v>
      </c>
      <c r="C361" t="s">
        <v>18</v>
      </c>
      <c r="D361" t="s">
        <v>19</v>
      </c>
      <c r="E361" t="s">
        <v>27</v>
      </c>
      <c r="F361">
        <v>10</v>
      </c>
      <c r="G361">
        <v>62.45</v>
      </c>
      <c r="H361">
        <v>624.5</v>
      </c>
      <c r="I361" t="str">
        <f t="shared" si="53"/>
        <v>Normal Order</v>
      </c>
      <c r="J361" t="str">
        <f t="shared" si="45"/>
        <v>ValueShop - Bangalore</v>
      </c>
      <c r="K361">
        <f t="shared" si="46"/>
        <v>5</v>
      </c>
      <c r="L361" t="str">
        <f t="shared" si="47"/>
        <v>Boo</v>
      </c>
      <c r="M361" s="3" t="str">
        <f t="shared" si="48"/>
        <v>RD135</v>
      </c>
      <c r="N361" s="3" t="str">
        <f t="shared" si="49"/>
        <v>bangalore</v>
      </c>
      <c r="O361" s="3" t="str">
        <f t="shared" si="50"/>
        <v>BANGALORE</v>
      </c>
      <c r="P361" s="3" t="str">
        <f t="shared" si="51"/>
        <v>Bangalore</v>
      </c>
      <c r="Q361" s="3">
        <f t="shared" si="52"/>
        <v>3.1622776601683795</v>
      </c>
    </row>
    <row r="362" spans="1:17">
      <c r="A362" t="s">
        <v>395</v>
      </c>
      <c r="B362" s="1">
        <v>45635</v>
      </c>
      <c r="C362" t="s">
        <v>22</v>
      </c>
      <c r="D362" t="s">
        <v>37</v>
      </c>
      <c r="E362" t="s">
        <v>23</v>
      </c>
      <c r="F362">
        <v>13</v>
      </c>
      <c r="G362">
        <v>318.11</v>
      </c>
      <c r="H362">
        <v>4135.43</v>
      </c>
      <c r="I362" t="str">
        <f t="shared" si="53"/>
        <v>Bulk Order</v>
      </c>
      <c r="J362" t="str">
        <f t="shared" si="45"/>
        <v>CityStore - Hyderabad</v>
      </c>
      <c r="K362">
        <f t="shared" si="46"/>
        <v>8</v>
      </c>
      <c r="L362" t="str">
        <f t="shared" si="47"/>
        <v>Clo</v>
      </c>
      <c r="M362" s="3" t="str">
        <f t="shared" si="48"/>
        <v>RD136</v>
      </c>
      <c r="N362" s="3" t="str">
        <f t="shared" si="49"/>
        <v>hyderabad</v>
      </c>
      <c r="O362" s="3" t="str">
        <f t="shared" si="50"/>
        <v>HYDERABAD</v>
      </c>
      <c r="P362" s="3" t="str">
        <f t="shared" si="51"/>
        <v>Hyderabad</v>
      </c>
      <c r="Q362" s="3">
        <f t="shared" si="52"/>
        <v>3.6055512754639891</v>
      </c>
    </row>
    <row r="363" spans="1:17">
      <c r="A363" t="s">
        <v>396</v>
      </c>
      <c r="B363" s="1">
        <v>45622</v>
      </c>
      <c r="C363" t="s">
        <v>39</v>
      </c>
      <c r="D363" t="s">
        <v>26</v>
      </c>
      <c r="E363" t="s">
        <v>20</v>
      </c>
      <c r="F363">
        <v>20</v>
      </c>
      <c r="G363">
        <v>1279.8699999999999</v>
      </c>
      <c r="H363">
        <v>25597.4</v>
      </c>
      <c r="I363" t="str">
        <f t="shared" si="53"/>
        <v>Bulk Order</v>
      </c>
      <c r="J363" t="str">
        <f t="shared" si="45"/>
        <v>Trendz - Delhi</v>
      </c>
      <c r="K363">
        <f t="shared" si="46"/>
        <v>11</v>
      </c>
      <c r="L363" t="str">
        <f t="shared" si="47"/>
        <v>Ele</v>
      </c>
      <c r="M363" s="3" t="str">
        <f t="shared" si="48"/>
        <v>RD136</v>
      </c>
      <c r="N363" s="3" t="str">
        <f t="shared" si="49"/>
        <v>delhi</v>
      </c>
      <c r="O363" s="3" t="str">
        <f t="shared" si="50"/>
        <v>DELHI</v>
      </c>
      <c r="P363" s="3" t="str">
        <f t="shared" si="51"/>
        <v>Delhi</v>
      </c>
      <c r="Q363" s="3">
        <f t="shared" si="52"/>
        <v>4.4721359549995796</v>
      </c>
    </row>
    <row r="364" spans="1:17">
      <c r="A364" t="s">
        <v>397</v>
      </c>
      <c r="B364" s="1">
        <v>45445</v>
      </c>
      <c r="C364" t="s">
        <v>32</v>
      </c>
      <c r="D364" t="s">
        <v>33</v>
      </c>
      <c r="E364" t="s">
        <v>23</v>
      </c>
      <c r="F364">
        <v>14</v>
      </c>
      <c r="G364">
        <v>182.54</v>
      </c>
      <c r="H364">
        <v>2555.56</v>
      </c>
      <c r="I364" t="str">
        <f t="shared" si="53"/>
        <v>Bulk Order</v>
      </c>
      <c r="J364" t="str">
        <f t="shared" si="45"/>
        <v>MegaMart - Chennai</v>
      </c>
      <c r="K364">
        <f t="shared" si="46"/>
        <v>8</v>
      </c>
      <c r="L364" t="str">
        <f t="shared" si="47"/>
        <v>Clo</v>
      </c>
      <c r="M364" s="3" t="str">
        <f t="shared" si="48"/>
        <v>RD136</v>
      </c>
      <c r="N364" s="3" t="str">
        <f t="shared" si="49"/>
        <v>chennai</v>
      </c>
      <c r="O364" s="3" t="str">
        <f t="shared" si="50"/>
        <v>CHENNAI</v>
      </c>
      <c r="P364" s="3" t="str">
        <f t="shared" si="51"/>
        <v>Chennai</v>
      </c>
      <c r="Q364" s="3">
        <f t="shared" si="52"/>
        <v>3.7416573867739413</v>
      </c>
    </row>
    <row r="365" spans="1:17">
      <c r="A365" t="s">
        <v>398</v>
      </c>
      <c r="B365" s="1">
        <v>45526</v>
      </c>
      <c r="C365" t="s">
        <v>32</v>
      </c>
      <c r="D365" t="s">
        <v>19</v>
      </c>
      <c r="E365" t="s">
        <v>27</v>
      </c>
      <c r="F365">
        <v>8</v>
      </c>
      <c r="G365">
        <v>344.51</v>
      </c>
      <c r="H365">
        <v>2756.08</v>
      </c>
      <c r="I365" t="str">
        <f t="shared" si="53"/>
        <v>Normal Order</v>
      </c>
      <c r="J365" t="str">
        <f t="shared" si="45"/>
        <v>MegaMart - Bangalore</v>
      </c>
      <c r="K365">
        <f t="shared" si="46"/>
        <v>5</v>
      </c>
      <c r="L365" t="str">
        <f t="shared" si="47"/>
        <v>Boo</v>
      </c>
      <c r="M365" s="3" t="str">
        <f t="shared" si="48"/>
        <v>RD136</v>
      </c>
      <c r="N365" s="3" t="str">
        <f t="shared" si="49"/>
        <v>bangalore</v>
      </c>
      <c r="O365" s="3" t="str">
        <f t="shared" si="50"/>
        <v>BANGALORE</v>
      </c>
      <c r="P365" s="3" t="str">
        <f t="shared" si="51"/>
        <v>Bangalore</v>
      </c>
      <c r="Q365" s="3">
        <f t="shared" si="52"/>
        <v>2.8284271247461903</v>
      </c>
    </row>
    <row r="366" spans="1:17">
      <c r="A366" t="s">
        <v>399</v>
      </c>
      <c r="B366" s="1">
        <v>45453</v>
      </c>
      <c r="C366" t="s">
        <v>25</v>
      </c>
      <c r="D366" t="s">
        <v>42</v>
      </c>
      <c r="E366" t="s">
        <v>30</v>
      </c>
      <c r="F366">
        <v>6</v>
      </c>
      <c r="G366">
        <v>476.5</v>
      </c>
      <c r="H366">
        <v>2859</v>
      </c>
      <c r="I366" t="str">
        <f t="shared" si="53"/>
        <v>Normal Order</v>
      </c>
      <c r="J366" t="str">
        <f t="shared" si="45"/>
        <v>QuickBuy - Pune</v>
      </c>
      <c r="K366">
        <f t="shared" si="46"/>
        <v>14</v>
      </c>
      <c r="L366" t="str">
        <f t="shared" si="47"/>
        <v>Hom</v>
      </c>
      <c r="M366" s="3" t="str">
        <f t="shared" si="48"/>
        <v>RD136</v>
      </c>
      <c r="N366" s="3" t="str">
        <f t="shared" si="49"/>
        <v>pune</v>
      </c>
      <c r="O366" s="3" t="str">
        <f t="shared" si="50"/>
        <v>PUNE</v>
      </c>
      <c r="P366" s="3" t="str">
        <f t="shared" si="51"/>
        <v>Pune</v>
      </c>
      <c r="Q366" s="3">
        <f t="shared" si="52"/>
        <v>2.4494897427831779</v>
      </c>
    </row>
    <row r="367" spans="1:17">
      <c r="A367" t="s">
        <v>400</v>
      </c>
      <c r="B367" s="1">
        <v>45329</v>
      </c>
      <c r="C367" t="s">
        <v>18</v>
      </c>
      <c r="D367" t="s">
        <v>42</v>
      </c>
      <c r="E367" t="s">
        <v>30</v>
      </c>
      <c r="F367">
        <v>11</v>
      </c>
      <c r="G367">
        <v>939.22</v>
      </c>
      <c r="H367">
        <v>10331.42</v>
      </c>
      <c r="I367" t="str">
        <f t="shared" si="53"/>
        <v>Bulk Order</v>
      </c>
      <c r="J367" t="str">
        <f t="shared" si="45"/>
        <v>ValueShop - Pune</v>
      </c>
      <c r="K367">
        <f t="shared" si="46"/>
        <v>14</v>
      </c>
      <c r="L367" t="str">
        <f t="shared" si="47"/>
        <v>Hom</v>
      </c>
      <c r="M367" s="3" t="str">
        <f t="shared" si="48"/>
        <v>RD136</v>
      </c>
      <c r="N367" s="3" t="str">
        <f t="shared" si="49"/>
        <v>pune</v>
      </c>
      <c r="O367" s="3" t="str">
        <f t="shared" si="50"/>
        <v>PUNE</v>
      </c>
      <c r="P367" s="3" t="str">
        <f t="shared" si="51"/>
        <v>Pune</v>
      </c>
      <c r="Q367" s="3">
        <f t="shared" si="52"/>
        <v>3.3166247903553998</v>
      </c>
    </row>
    <row r="368" spans="1:17">
      <c r="A368" t="s">
        <v>401</v>
      </c>
      <c r="B368" s="1">
        <v>45296</v>
      </c>
      <c r="C368" t="s">
        <v>39</v>
      </c>
      <c r="D368" t="s">
        <v>42</v>
      </c>
      <c r="E368" t="s">
        <v>34</v>
      </c>
      <c r="F368">
        <v>19</v>
      </c>
      <c r="G368">
        <v>167.88</v>
      </c>
      <c r="H368">
        <v>3189.72</v>
      </c>
      <c r="I368" t="str">
        <f t="shared" si="53"/>
        <v>Bulk Order</v>
      </c>
      <c r="J368" t="str">
        <f t="shared" si="45"/>
        <v>Trendz - Pune</v>
      </c>
      <c r="K368">
        <f t="shared" si="46"/>
        <v>4</v>
      </c>
      <c r="L368" t="str">
        <f t="shared" si="47"/>
        <v>Toy</v>
      </c>
      <c r="M368" s="3" t="str">
        <f t="shared" si="48"/>
        <v>RD136</v>
      </c>
      <c r="N368" s="3" t="str">
        <f t="shared" si="49"/>
        <v>pune</v>
      </c>
      <c r="O368" s="3" t="str">
        <f t="shared" si="50"/>
        <v>PUNE</v>
      </c>
      <c r="P368" s="3" t="str">
        <f t="shared" si="51"/>
        <v>Pune</v>
      </c>
      <c r="Q368" s="3">
        <f t="shared" si="52"/>
        <v>4.358898943540674</v>
      </c>
    </row>
    <row r="369" spans="1:17">
      <c r="A369" t="s">
        <v>402</v>
      </c>
      <c r="B369" s="1">
        <v>45526</v>
      </c>
      <c r="C369" t="s">
        <v>39</v>
      </c>
      <c r="D369" t="s">
        <v>19</v>
      </c>
      <c r="E369" t="s">
        <v>34</v>
      </c>
      <c r="F369">
        <v>11</v>
      </c>
      <c r="G369">
        <v>1293.57</v>
      </c>
      <c r="H369">
        <v>14229.27</v>
      </c>
      <c r="I369" t="str">
        <f t="shared" si="53"/>
        <v>Bulk Order</v>
      </c>
      <c r="J369" t="str">
        <f t="shared" si="45"/>
        <v>Trendz - Bangalore</v>
      </c>
      <c r="K369">
        <f t="shared" si="46"/>
        <v>4</v>
      </c>
      <c r="L369" t="str">
        <f t="shared" si="47"/>
        <v>Toy</v>
      </c>
      <c r="M369" s="3" t="str">
        <f t="shared" si="48"/>
        <v>RD136</v>
      </c>
      <c r="N369" s="3" t="str">
        <f t="shared" si="49"/>
        <v>bangalore</v>
      </c>
      <c r="O369" s="3" t="str">
        <f t="shared" si="50"/>
        <v>BANGALORE</v>
      </c>
      <c r="P369" s="3" t="str">
        <f t="shared" si="51"/>
        <v>Bangalore</v>
      </c>
      <c r="Q369" s="3">
        <f t="shared" si="52"/>
        <v>3.3166247903553998</v>
      </c>
    </row>
    <row r="370" spans="1:17">
      <c r="A370" t="s">
        <v>403</v>
      </c>
      <c r="B370" s="1">
        <v>45610</v>
      </c>
      <c r="C370" t="s">
        <v>39</v>
      </c>
      <c r="D370" t="s">
        <v>37</v>
      </c>
      <c r="E370" t="s">
        <v>34</v>
      </c>
      <c r="F370">
        <v>7</v>
      </c>
      <c r="G370">
        <v>1871.11</v>
      </c>
      <c r="H370">
        <v>13097.77</v>
      </c>
      <c r="I370" t="str">
        <f t="shared" si="53"/>
        <v>Normal Order</v>
      </c>
      <c r="J370" t="str">
        <f t="shared" si="45"/>
        <v>Trendz - Hyderabad</v>
      </c>
      <c r="K370">
        <f t="shared" si="46"/>
        <v>4</v>
      </c>
      <c r="L370" t="str">
        <f t="shared" si="47"/>
        <v>Toy</v>
      </c>
      <c r="M370" s="3" t="str">
        <f t="shared" si="48"/>
        <v>RD136</v>
      </c>
      <c r="N370" s="3" t="str">
        <f t="shared" si="49"/>
        <v>hyderabad</v>
      </c>
      <c r="O370" s="3" t="str">
        <f t="shared" si="50"/>
        <v>HYDERABAD</v>
      </c>
      <c r="P370" s="3" t="str">
        <f t="shared" si="51"/>
        <v>Hyderabad</v>
      </c>
      <c r="Q370" s="3">
        <f t="shared" si="52"/>
        <v>2.6457513110645907</v>
      </c>
    </row>
    <row r="371" spans="1:17">
      <c r="A371" t="s">
        <v>404</v>
      </c>
      <c r="B371" s="1">
        <v>45580</v>
      </c>
      <c r="C371" t="s">
        <v>18</v>
      </c>
      <c r="D371" t="s">
        <v>33</v>
      </c>
      <c r="E371" t="s">
        <v>23</v>
      </c>
      <c r="F371">
        <v>6</v>
      </c>
      <c r="G371">
        <v>1829.87</v>
      </c>
      <c r="H371">
        <v>10979.22</v>
      </c>
      <c r="I371" t="str">
        <f t="shared" si="53"/>
        <v>Normal Order</v>
      </c>
      <c r="J371" t="str">
        <f t="shared" si="45"/>
        <v>ValueShop - Chennai</v>
      </c>
      <c r="K371">
        <f t="shared" si="46"/>
        <v>8</v>
      </c>
      <c r="L371" t="str">
        <f t="shared" si="47"/>
        <v>Clo</v>
      </c>
      <c r="M371" s="3" t="str">
        <f t="shared" si="48"/>
        <v>RD136</v>
      </c>
      <c r="N371" s="3" t="str">
        <f t="shared" si="49"/>
        <v>chennai</v>
      </c>
      <c r="O371" s="3" t="str">
        <f t="shared" si="50"/>
        <v>CHENNAI</v>
      </c>
      <c r="P371" s="3" t="str">
        <f t="shared" si="51"/>
        <v>Chennai</v>
      </c>
      <c r="Q371" s="3">
        <f t="shared" si="52"/>
        <v>2.4494897427831779</v>
      </c>
    </row>
    <row r="372" spans="1:17">
      <c r="A372" t="s">
        <v>405</v>
      </c>
      <c r="B372" s="1">
        <v>45343</v>
      </c>
      <c r="C372" t="s">
        <v>22</v>
      </c>
      <c r="D372" t="s">
        <v>29</v>
      </c>
      <c r="E372" t="s">
        <v>44</v>
      </c>
      <c r="F372">
        <v>16</v>
      </c>
      <c r="G372">
        <v>1335.6</v>
      </c>
      <c r="H372">
        <v>21369.599999999999</v>
      </c>
      <c r="I372" t="str">
        <f t="shared" si="53"/>
        <v>Bulk Order</v>
      </c>
      <c r="J372" t="str">
        <f t="shared" si="45"/>
        <v>CityStore - Kolkata</v>
      </c>
      <c r="K372">
        <f t="shared" si="46"/>
        <v>9</v>
      </c>
      <c r="L372" t="str">
        <f t="shared" si="47"/>
        <v>Gro</v>
      </c>
      <c r="M372" s="3" t="str">
        <f t="shared" si="48"/>
        <v>RD137</v>
      </c>
      <c r="N372" s="3" t="str">
        <f t="shared" si="49"/>
        <v>kolkata</v>
      </c>
      <c r="O372" s="3" t="str">
        <f t="shared" si="50"/>
        <v>KOLKATA</v>
      </c>
      <c r="P372" s="3" t="str">
        <f t="shared" si="51"/>
        <v>Kolkata</v>
      </c>
      <c r="Q372" s="3">
        <f t="shared" si="52"/>
        <v>4</v>
      </c>
    </row>
    <row r="373" spans="1:17">
      <c r="A373" t="s">
        <v>406</v>
      </c>
      <c r="B373" s="1">
        <v>45329</v>
      </c>
      <c r="C373" t="s">
        <v>32</v>
      </c>
      <c r="D373" t="s">
        <v>42</v>
      </c>
      <c r="E373" t="s">
        <v>44</v>
      </c>
      <c r="F373">
        <v>17</v>
      </c>
      <c r="G373">
        <v>80.680000000000007</v>
      </c>
      <c r="H373">
        <v>1371.56</v>
      </c>
      <c r="I373" t="str">
        <f t="shared" si="53"/>
        <v>Bulk Order</v>
      </c>
      <c r="J373" t="str">
        <f t="shared" si="45"/>
        <v>MegaMart - Pune</v>
      </c>
      <c r="K373">
        <f t="shared" si="46"/>
        <v>9</v>
      </c>
      <c r="L373" t="str">
        <f t="shared" si="47"/>
        <v>Gro</v>
      </c>
      <c r="M373" s="3" t="str">
        <f t="shared" si="48"/>
        <v>RD137</v>
      </c>
      <c r="N373" s="3" t="str">
        <f t="shared" si="49"/>
        <v>pune</v>
      </c>
      <c r="O373" s="3" t="str">
        <f t="shared" si="50"/>
        <v>PUNE</v>
      </c>
      <c r="P373" s="3" t="str">
        <f t="shared" si="51"/>
        <v>Pune</v>
      </c>
      <c r="Q373" s="3">
        <f t="shared" si="52"/>
        <v>4.1231056256176606</v>
      </c>
    </row>
    <row r="374" spans="1:17">
      <c r="A374" t="s">
        <v>407</v>
      </c>
      <c r="B374" s="1">
        <v>45567</v>
      </c>
      <c r="C374" t="s">
        <v>18</v>
      </c>
      <c r="D374" t="s">
        <v>19</v>
      </c>
      <c r="E374" t="s">
        <v>44</v>
      </c>
      <c r="F374">
        <v>15</v>
      </c>
      <c r="G374">
        <v>1087.81</v>
      </c>
      <c r="H374">
        <v>16317.15</v>
      </c>
      <c r="I374" t="str">
        <f t="shared" si="53"/>
        <v>Bulk Order</v>
      </c>
      <c r="J374" t="str">
        <f t="shared" si="45"/>
        <v>ValueShop - Bangalore</v>
      </c>
      <c r="K374">
        <f t="shared" si="46"/>
        <v>9</v>
      </c>
      <c r="L374" t="str">
        <f t="shared" si="47"/>
        <v>Gro</v>
      </c>
      <c r="M374" s="3" t="str">
        <f t="shared" si="48"/>
        <v>RD137</v>
      </c>
      <c r="N374" s="3" t="str">
        <f t="shared" si="49"/>
        <v>bangalore</v>
      </c>
      <c r="O374" s="3" t="str">
        <f t="shared" si="50"/>
        <v>BANGALORE</v>
      </c>
      <c r="P374" s="3" t="str">
        <f t="shared" si="51"/>
        <v>Bangalore</v>
      </c>
      <c r="Q374" s="3">
        <f t="shared" si="52"/>
        <v>3.872983346207417</v>
      </c>
    </row>
    <row r="375" spans="1:17">
      <c r="A375" t="s">
        <v>408</v>
      </c>
      <c r="B375" s="1">
        <v>45401</v>
      </c>
      <c r="C375" t="s">
        <v>39</v>
      </c>
      <c r="D375" t="s">
        <v>26</v>
      </c>
      <c r="E375" t="s">
        <v>30</v>
      </c>
      <c r="F375">
        <v>16</v>
      </c>
      <c r="G375">
        <v>852.11</v>
      </c>
      <c r="H375">
        <v>13633.76</v>
      </c>
      <c r="I375" t="str">
        <f t="shared" si="53"/>
        <v>Bulk Order</v>
      </c>
      <c r="J375" t="str">
        <f t="shared" si="45"/>
        <v>Trendz - Delhi</v>
      </c>
      <c r="K375">
        <f t="shared" si="46"/>
        <v>14</v>
      </c>
      <c r="L375" t="str">
        <f t="shared" si="47"/>
        <v>Hom</v>
      </c>
      <c r="M375" s="3" t="str">
        <f t="shared" si="48"/>
        <v>RD137</v>
      </c>
      <c r="N375" s="3" t="str">
        <f t="shared" si="49"/>
        <v>delhi</v>
      </c>
      <c r="O375" s="3" t="str">
        <f t="shared" si="50"/>
        <v>DELHI</v>
      </c>
      <c r="P375" s="3" t="str">
        <f t="shared" si="51"/>
        <v>Delhi</v>
      </c>
      <c r="Q375" s="3">
        <f t="shared" si="52"/>
        <v>4</v>
      </c>
    </row>
    <row r="376" spans="1:17">
      <c r="A376" t="s">
        <v>409</v>
      </c>
      <c r="B376" s="1">
        <v>45551</v>
      </c>
      <c r="C376" t="s">
        <v>32</v>
      </c>
      <c r="D376" t="s">
        <v>42</v>
      </c>
      <c r="E376" t="s">
        <v>30</v>
      </c>
      <c r="F376">
        <v>10</v>
      </c>
      <c r="G376">
        <v>82.62</v>
      </c>
      <c r="H376">
        <v>826.2</v>
      </c>
      <c r="I376" t="str">
        <f t="shared" si="53"/>
        <v>Normal Order</v>
      </c>
      <c r="J376" t="str">
        <f t="shared" si="45"/>
        <v>MegaMart - Pune</v>
      </c>
      <c r="K376">
        <f t="shared" si="46"/>
        <v>14</v>
      </c>
      <c r="L376" t="str">
        <f t="shared" si="47"/>
        <v>Hom</v>
      </c>
      <c r="M376" s="3" t="str">
        <f t="shared" si="48"/>
        <v>RD137</v>
      </c>
      <c r="N376" s="3" t="str">
        <f t="shared" si="49"/>
        <v>pune</v>
      </c>
      <c r="O376" s="3" t="str">
        <f t="shared" si="50"/>
        <v>PUNE</v>
      </c>
      <c r="P376" s="3" t="str">
        <f t="shared" si="51"/>
        <v>Pune</v>
      </c>
      <c r="Q376" s="3">
        <f t="shared" si="52"/>
        <v>3.1622776601683795</v>
      </c>
    </row>
    <row r="377" spans="1:17">
      <c r="A377" t="s">
        <v>410</v>
      </c>
      <c r="B377" s="1">
        <v>45427</v>
      </c>
      <c r="C377" t="s">
        <v>32</v>
      </c>
      <c r="D377" t="s">
        <v>50</v>
      </c>
      <c r="E377" t="s">
        <v>44</v>
      </c>
      <c r="F377">
        <v>16</v>
      </c>
      <c r="G377">
        <v>1458.28</v>
      </c>
      <c r="H377">
        <v>23332.48</v>
      </c>
      <c r="I377" t="str">
        <f t="shared" si="53"/>
        <v>Bulk Order</v>
      </c>
      <c r="J377" t="str">
        <f t="shared" si="45"/>
        <v>MegaMart - Mumbai</v>
      </c>
      <c r="K377">
        <f t="shared" si="46"/>
        <v>9</v>
      </c>
      <c r="L377" t="str">
        <f t="shared" si="47"/>
        <v>Gro</v>
      </c>
      <c r="M377" s="3" t="str">
        <f t="shared" si="48"/>
        <v>RD137</v>
      </c>
      <c r="N377" s="3" t="str">
        <f t="shared" si="49"/>
        <v>mumbai</v>
      </c>
      <c r="O377" s="3" t="str">
        <f t="shared" si="50"/>
        <v>MUMBAI</v>
      </c>
      <c r="P377" s="3" t="str">
        <f t="shared" si="51"/>
        <v>Mumbai</v>
      </c>
      <c r="Q377" s="3">
        <f t="shared" si="52"/>
        <v>4</v>
      </c>
    </row>
    <row r="378" spans="1:17">
      <c r="A378" t="s">
        <v>411</v>
      </c>
      <c r="B378" s="1">
        <v>45359</v>
      </c>
      <c r="C378" t="s">
        <v>39</v>
      </c>
      <c r="D378" t="s">
        <v>33</v>
      </c>
      <c r="E378" t="s">
        <v>27</v>
      </c>
      <c r="F378">
        <v>1</v>
      </c>
      <c r="G378">
        <v>1094.69</v>
      </c>
      <c r="H378">
        <v>1094.69</v>
      </c>
      <c r="I378" t="str">
        <f t="shared" si="53"/>
        <v>Normal Order</v>
      </c>
      <c r="J378" t="str">
        <f t="shared" si="45"/>
        <v>Trendz - Chennai</v>
      </c>
      <c r="K378">
        <f t="shared" si="46"/>
        <v>5</v>
      </c>
      <c r="L378" t="str">
        <f t="shared" si="47"/>
        <v>Boo</v>
      </c>
      <c r="M378" s="3" t="str">
        <f t="shared" si="48"/>
        <v>RD137</v>
      </c>
      <c r="N378" s="3" t="str">
        <f t="shared" si="49"/>
        <v>chennai</v>
      </c>
      <c r="O378" s="3" t="str">
        <f t="shared" si="50"/>
        <v>CHENNAI</v>
      </c>
      <c r="P378" s="3" t="str">
        <f t="shared" si="51"/>
        <v>Chennai</v>
      </c>
      <c r="Q378" s="3">
        <f t="shared" si="52"/>
        <v>1</v>
      </c>
    </row>
    <row r="379" spans="1:17">
      <c r="A379" t="s">
        <v>412</v>
      </c>
      <c r="B379" s="1">
        <v>45470</v>
      </c>
      <c r="C379" t="s">
        <v>39</v>
      </c>
      <c r="D379" t="s">
        <v>26</v>
      </c>
      <c r="E379" t="s">
        <v>34</v>
      </c>
      <c r="F379">
        <v>3</v>
      </c>
      <c r="G379">
        <v>609.04</v>
      </c>
      <c r="H379">
        <v>1827.12</v>
      </c>
      <c r="I379" t="str">
        <f t="shared" si="53"/>
        <v>Normal Order</v>
      </c>
      <c r="J379" t="str">
        <f t="shared" si="45"/>
        <v>Trendz - Delhi</v>
      </c>
      <c r="K379">
        <f t="shared" si="46"/>
        <v>4</v>
      </c>
      <c r="L379" t="str">
        <f t="shared" si="47"/>
        <v>Toy</v>
      </c>
      <c r="M379" s="3" t="str">
        <f t="shared" si="48"/>
        <v>RD137</v>
      </c>
      <c r="N379" s="3" t="str">
        <f t="shared" si="49"/>
        <v>delhi</v>
      </c>
      <c r="O379" s="3" t="str">
        <f t="shared" si="50"/>
        <v>DELHI</v>
      </c>
      <c r="P379" s="3" t="str">
        <f t="shared" si="51"/>
        <v>Delhi</v>
      </c>
      <c r="Q379" s="3">
        <f t="shared" si="52"/>
        <v>1.7320508075688772</v>
      </c>
    </row>
    <row r="380" spans="1:17">
      <c r="A380" t="s">
        <v>413</v>
      </c>
      <c r="B380" s="1">
        <v>45327</v>
      </c>
      <c r="C380" t="s">
        <v>32</v>
      </c>
      <c r="D380" t="s">
        <v>37</v>
      </c>
      <c r="E380" t="s">
        <v>20</v>
      </c>
      <c r="F380">
        <v>13</v>
      </c>
      <c r="G380">
        <v>1029.32</v>
      </c>
      <c r="H380">
        <v>13381.16</v>
      </c>
      <c r="I380" t="str">
        <f t="shared" si="53"/>
        <v>Bulk Order</v>
      </c>
      <c r="J380" t="str">
        <f t="shared" si="45"/>
        <v>MegaMart - Hyderabad</v>
      </c>
      <c r="K380">
        <f t="shared" si="46"/>
        <v>11</v>
      </c>
      <c r="L380" t="str">
        <f t="shared" si="47"/>
        <v>Ele</v>
      </c>
      <c r="M380" s="3" t="str">
        <f t="shared" si="48"/>
        <v>RD137</v>
      </c>
      <c r="N380" s="3" t="str">
        <f t="shared" si="49"/>
        <v>hyderabad</v>
      </c>
      <c r="O380" s="3" t="str">
        <f t="shared" si="50"/>
        <v>HYDERABAD</v>
      </c>
      <c r="P380" s="3" t="str">
        <f t="shared" si="51"/>
        <v>Hyderabad</v>
      </c>
      <c r="Q380" s="3">
        <f t="shared" si="52"/>
        <v>3.6055512754639891</v>
      </c>
    </row>
    <row r="381" spans="1:17">
      <c r="A381" t="s">
        <v>414</v>
      </c>
      <c r="B381" s="1">
        <v>45417</v>
      </c>
      <c r="C381" t="s">
        <v>25</v>
      </c>
      <c r="D381" t="s">
        <v>37</v>
      </c>
      <c r="E381" t="s">
        <v>27</v>
      </c>
      <c r="F381">
        <v>17</v>
      </c>
      <c r="G381">
        <v>1410.83</v>
      </c>
      <c r="H381">
        <v>23984.11</v>
      </c>
      <c r="I381" t="str">
        <f t="shared" si="53"/>
        <v>Bulk Order</v>
      </c>
      <c r="J381" t="str">
        <f t="shared" si="45"/>
        <v>QuickBuy - Hyderabad</v>
      </c>
      <c r="K381">
        <f t="shared" si="46"/>
        <v>5</v>
      </c>
      <c r="L381" t="str">
        <f t="shared" si="47"/>
        <v>Boo</v>
      </c>
      <c r="M381" s="3" t="str">
        <f t="shared" si="48"/>
        <v>RD137</v>
      </c>
      <c r="N381" s="3" t="str">
        <f t="shared" si="49"/>
        <v>hyderabad</v>
      </c>
      <c r="O381" s="3" t="str">
        <f t="shared" si="50"/>
        <v>HYDERABAD</v>
      </c>
      <c r="P381" s="3" t="str">
        <f t="shared" si="51"/>
        <v>Hyderabad</v>
      </c>
      <c r="Q381" s="3">
        <f t="shared" si="52"/>
        <v>4.1231056256176606</v>
      </c>
    </row>
    <row r="382" spans="1:17">
      <c r="A382" t="s">
        <v>415</v>
      </c>
      <c r="B382" s="1">
        <v>45481</v>
      </c>
      <c r="C382" t="s">
        <v>32</v>
      </c>
      <c r="D382" t="s">
        <v>19</v>
      </c>
      <c r="E382" t="s">
        <v>27</v>
      </c>
      <c r="F382">
        <v>15</v>
      </c>
      <c r="G382">
        <v>889.62</v>
      </c>
      <c r="H382">
        <v>13344.3</v>
      </c>
      <c r="I382" t="str">
        <f t="shared" si="53"/>
        <v>Bulk Order</v>
      </c>
      <c r="J382" t="str">
        <f t="shared" si="45"/>
        <v>MegaMart - Bangalore</v>
      </c>
      <c r="K382">
        <f t="shared" si="46"/>
        <v>5</v>
      </c>
      <c r="L382" t="str">
        <f t="shared" si="47"/>
        <v>Boo</v>
      </c>
      <c r="M382" s="3" t="str">
        <f t="shared" si="48"/>
        <v>RD138</v>
      </c>
      <c r="N382" s="3" t="str">
        <f t="shared" si="49"/>
        <v>bangalore</v>
      </c>
      <c r="O382" s="3" t="str">
        <f t="shared" si="50"/>
        <v>BANGALORE</v>
      </c>
      <c r="P382" s="3" t="str">
        <f t="shared" si="51"/>
        <v>Bangalore</v>
      </c>
      <c r="Q382" s="3">
        <f t="shared" si="52"/>
        <v>3.872983346207417</v>
      </c>
    </row>
    <row r="383" spans="1:17">
      <c r="A383" t="s">
        <v>416</v>
      </c>
      <c r="B383" s="1">
        <v>45437</v>
      </c>
      <c r="C383" t="s">
        <v>22</v>
      </c>
      <c r="D383" t="s">
        <v>37</v>
      </c>
      <c r="E383" t="s">
        <v>44</v>
      </c>
      <c r="F383">
        <v>8</v>
      </c>
      <c r="G383">
        <v>1882.44</v>
      </c>
      <c r="H383">
        <v>15059.52</v>
      </c>
      <c r="I383" t="str">
        <f t="shared" si="53"/>
        <v>Normal Order</v>
      </c>
      <c r="J383" t="str">
        <f t="shared" si="45"/>
        <v>CityStore - Hyderabad</v>
      </c>
      <c r="K383">
        <f t="shared" si="46"/>
        <v>9</v>
      </c>
      <c r="L383" t="str">
        <f t="shared" si="47"/>
        <v>Gro</v>
      </c>
      <c r="M383" s="3" t="str">
        <f t="shared" si="48"/>
        <v>RD138</v>
      </c>
      <c r="N383" s="3" t="str">
        <f t="shared" si="49"/>
        <v>hyderabad</v>
      </c>
      <c r="O383" s="3" t="str">
        <f t="shared" si="50"/>
        <v>HYDERABAD</v>
      </c>
      <c r="P383" s="3" t="str">
        <f t="shared" si="51"/>
        <v>Hyderabad</v>
      </c>
      <c r="Q383" s="3">
        <f t="shared" si="52"/>
        <v>2.8284271247461903</v>
      </c>
    </row>
    <row r="384" spans="1:17">
      <c r="A384" t="s">
        <v>417</v>
      </c>
      <c r="B384" s="1">
        <v>45372</v>
      </c>
      <c r="C384" t="s">
        <v>22</v>
      </c>
      <c r="D384" t="s">
        <v>50</v>
      </c>
      <c r="E384" t="s">
        <v>20</v>
      </c>
      <c r="F384">
        <v>7</v>
      </c>
      <c r="G384">
        <v>399.57</v>
      </c>
      <c r="H384">
        <v>2796.99</v>
      </c>
      <c r="I384" t="str">
        <f t="shared" si="53"/>
        <v>Normal Order</v>
      </c>
      <c r="J384" t="str">
        <f t="shared" si="45"/>
        <v>CityStore - Mumbai</v>
      </c>
      <c r="K384">
        <f t="shared" si="46"/>
        <v>11</v>
      </c>
      <c r="L384" t="str">
        <f t="shared" si="47"/>
        <v>Ele</v>
      </c>
      <c r="M384" s="3" t="str">
        <f t="shared" si="48"/>
        <v>RD138</v>
      </c>
      <c r="N384" s="3" t="str">
        <f t="shared" si="49"/>
        <v>mumbai</v>
      </c>
      <c r="O384" s="3" t="str">
        <f t="shared" si="50"/>
        <v>MUMBAI</v>
      </c>
      <c r="P384" s="3" t="str">
        <f t="shared" si="51"/>
        <v>Mumbai</v>
      </c>
      <c r="Q384" s="3">
        <f t="shared" si="52"/>
        <v>2.6457513110645907</v>
      </c>
    </row>
    <row r="385" spans="1:17">
      <c r="A385" t="s">
        <v>418</v>
      </c>
      <c r="B385" s="1">
        <v>45516</v>
      </c>
      <c r="C385" t="s">
        <v>25</v>
      </c>
      <c r="D385" t="s">
        <v>42</v>
      </c>
      <c r="E385" t="s">
        <v>44</v>
      </c>
      <c r="F385">
        <v>19</v>
      </c>
      <c r="G385">
        <v>1840.2</v>
      </c>
      <c r="H385">
        <v>34963.800000000003</v>
      </c>
      <c r="I385" t="str">
        <f t="shared" si="53"/>
        <v>Bulk Order</v>
      </c>
      <c r="J385" t="str">
        <f t="shared" si="45"/>
        <v>QuickBuy - Pune</v>
      </c>
      <c r="K385">
        <f t="shared" si="46"/>
        <v>9</v>
      </c>
      <c r="L385" t="str">
        <f t="shared" si="47"/>
        <v>Gro</v>
      </c>
      <c r="M385" s="3" t="str">
        <f t="shared" si="48"/>
        <v>RD138</v>
      </c>
      <c r="N385" s="3" t="str">
        <f t="shared" si="49"/>
        <v>pune</v>
      </c>
      <c r="O385" s="3" t="str">
        <f t="shared" si="50"/>
        <v>PUNE</v>
      </c>
      <c r="P385" s="3" t="str">
        <f t="shared" si="51"/>
        <v>Pune</v>
      </c>
      <c r="Q385" s="3">
        <f t="shared" si="52"/>
        <v>4.358898943540674</v>
      </c>
    </row>
    <row r="386" spans="1:17">
      <c r="A386" t="s">
        <v>419</v>
      </c>
      <c r="B386" s="1">
        <v>45570</v>
      </c>
      <c r="C386" t="s">
        <v>18</v>
      </c>
      <c r="D386" t="s">
        <v>26</v>
      </c>
      <c r="E386" t="s">
        <v>20</v>
      </c>
      <c r="F386">
        <v>12</v>
      </c>
      <c r="G386">
        <v>1072.55</v>
      </c>
      <c r="H386">
        <v>12870.6</v>
      </c>
      <c r="I386" t="str">
        <f t="shared" si="53"/>
        <v>Bulk Order</v>
      </c>
      <c r="J386" t="str">
        <f t="shared" ref="J386:J449" si="54">_xlfn.CONCAT(C386, " - ", D386)</f>
        <v>ValueShop - Delhi</v>
      </c>
      <c r="K386">
        <f t="shared" ref="K386:K449" si="55">LEN(E386)</f>
        <v>11</v>
      </c>
      <c r="L386" t="str">
        <f t="shared" ref="L386:L449" si="56">LEFT(E386, 3)</f>
        <v>Ele</v>
      </c>
      <c r="M386" s="3" t="str">
        <f t="shared" ref="M386:M449" si="57">MID(A386, 2, 5)</f>
        <v>RD138</v>
      </c>
      <c r="N386" s="3" t="str">
        <f t="shared" ref="N386:N449" si="58">LOWER(D386)</f>
        <v>delhi</v>
      </c>
      <c r="O386" s="3" t="str">
        <f t="shared" ref="O386:O449" si="59">UPPER(D386)</f>
        <v>DELHI</v>
      </c>
      <c r="P386" s="3" t="str">
        <f t="shared" ref="P386:P449" si="60">PROPER(D386)</f>
        <v>Delhi</v>
      </c>
      <c r="Q386" s="3">
        <f t="shared" ref="Q386:Q449" si="61">SQRT(F386)</f>
        <v>3.4641016151377544</v>
      </c>
    </row>
    <row r="387" spans="1:17">
      <c r="A387" t="s">
        <v>420</v>
      </c>
      <c r="B387" s="1">
        <v>45652</v>
      </c>
      <c r="C387" t="s">
        <v>32</v>
      </c>
      <c r="D387" t="s">
        <v>42</v>
      </c>
      <c r="E387" t="s">
        <v>34</v>
      </c>
      <c r="F387">
        <v>2</v>
      </c>
      <c r="G387">
        <v>519.89</v>
      </c>
      <c r="H387">
        <v>1039.78</v>
      </c>
      <c r="I387" t="str">
        <f t="shared" ref="I387:I450" si="62">IF(F387&gt;10,"Bulk Order","Normal Order")</f>
        <v>Normal Order</v>
      </c>
      <c r="J387" t="str">
        <f t="shared" si="54"/>
        <v>MegaMart - Pune</v>
      </c>
      <c r="K387">
        <f t="shared" si="55"/>
        <v>4</v>
      </c>
      <c r="L387" t="str">
        <f t="shared" si="56"/>
        <v>Toy</v>
      </c>
      <c r="M387" s="3" t="str">
        <f t="shared" si="57"/>
        <v>RD138</v>
      </c>
      <c r="N387" s="3" t="str">
        <f t="shared" si="58"/>
        <v>pune</v>
      </c>
      <c r="O387" s="3" t="str">
        <f t="shared" si="59"/>
        <v>PUNE</v>
      </c>
      <c r="P387" s="3" t="str">
        <f t="shared" si="60"/>
        <v>Pune</v>
      </c>
      <c r="Q387" s="3">
        <f t="shared" si="61"/>
        <v>1.4142135623730951</v>
      </c>
    </row>
    <row r="388" spans="1:17">
      <c r="A388" t="s">
        <v>421</v>
      </c>
      <c r="B388" s="1">
        <v>45446</v>
      </c>
      <c r="C388" t="s">
        <v>22</v>
      </c>
      <c r="D388" t="s">
        <v>29</v>
      </c>
      <c r="E388" t="s">
        <v>27</v>
      </c>
      <c r="F388">
        <v>2</v>
      </c>
      <c r="G388">
        <v>1258.57</v>
      </c>
      <c r="H388">
        <v>2517.14</v>
      </c>
      <c r="I388" t="str">
        <f t="shared" si="62"/>
        <v>Normal Order</v>
      </c>
      <c r="J388" t="str">
        <f t="shared" si="54"/>
        <v>CityStore - Kolkata</v>
      </c>
      <c r="K388">
        <f t="shared" si="55"/>
        <v>5</v>
      </c>
      <c r="L388" t="str">
        <f t="shared" si="56"/>
        <v>Boo</v>
      </c>
      <c r="M388" s="3" t="str">
        <f t="shared" si="57"/>
        <v>RD138</v>
      </c>
      <c r="N388" s="3" t="str">
        <f t="shared" si="58"/>
        <v>kolkata</v>
      </c>
      <c r="O388" s="3" t="str">
        <f t="shared" si="59"/>
        <v>KOLKATA</v>
      </c>
      <c r="P388" s="3" t="str">
        <f t="shared" si="60"/>
        <v>Kolkata</v>
      </c>
      <c r="Q388" s="3">
        <f t="shared" si="61"/>
        <v>1.4142135623730951</v>
      </c>
    </row>
    <row r="389" spans="1:17">
      <c r="A389" t="s">
        <v>422</v>
      </c>
      <c r="B389" s="1">
        <v>45605</v>
      </c>
      <c r="C389" t="s">
        <v>32</v>
      </c>
      <c r="D389" t="s">
        <v>33</v>
      </c>
      <c r="E389" t="s">
        <v>30</v>
      </c>
      <c r="F389">
        <v>10</v>
      </c>
      <c r="G389">
        <v>542.22</v>
      </c>
      <c r="H389">
        <v>5422.2000000000007</v>
      </c>
      <c r="I389" t="str">
        <f t="shared" si="62"/>
        <v>Normal Order</v>
      </c>
      <c r="J389" t="str">
        <f t="shared" si="54"/>
        <v>MegaMart - Chennai</v>
      </c>
      <c r="K389">
        <f t="shared" si="55"/>
        <v>14</v>
      </c>
      <c r="L389" t="str">
        <f t="shared" si="56"/>
        <v>Hom</v>
      </c>
      <c r="M389" s="3" t="str">
        <f t="shared" si="57"/>
        <v>RD138</v>
      </c>
      <c r="N389" s="3" t="str">
        <f t="shared" si="58"/>
        <v>chennai</v>
      </c>
      <c r="O389" s="3" t="str">
        <f t="shared" si="59"/>
        <v>CHENNAI</v>
      </c>
      <c r="P389" s="3" t="str">
        <f t="shared" si="60"/>
        <v>Chennai</v>
      </c>
      <c r="Q389" s="3">
        <f t="shared" si="61"/>
        <v>3.1622776601683795</v>
      </c>
    </row>
    <row r="390" spans="1:17">
      <c r="A390" t="s">
        <v>423</v>
      </c>
      <c r="B390" s="1">
        <v>45626</v>
      </c>
      <c r="C390" t="s">
        <v>25</v>
      </c>
      <c r="D390" t="s">
        <v>42</v>
      </c>
      <c r="E390" t="s">
        <v>44</v>
      </c>
      <c r="F390">
        <v>16</v>
      </c>
      <c r="G390">
        <v>741.16</v>
      </c>
      <c r="H390">
        <v>11858.56</v>
      </c>
      <c r="I390" t="str">
        <f t="shared" si="62"/>
        <v>Bulk Order</v>
      </c>
      <c r="J390" t="str">
        <f t="shared" si="54"/>
        <v>QuickBuy - Pune</v>
      </c>
      <c r="K390">
        <f t="shared" si="55"/>
        <v>9</v>
      </c>
      <c r="L390" t="str">
        <f t="shared" si="56"/>
        <v>Gro</v>
      </c>
      <c r="M390" s="3" t="str">
        <f t="shared" si="57"/>
        <v>RD138</v>
      </c>
      <c r="N390" s="3" t="str">
        <f t="shared" si="58"/>
        <v>pune</v>
      </c>
      <c r="O390" s="3" t="str">
        <f t="shared" si="59"/>
        <v>PUNE</v>
      </c>
      <c r="P390" s="3" t="str">
        <f t="shared" si="60"/>
        <v>Pune</v>
      </c>
      <c r="Q390" s="3">
        <f t="shared" si="61"/>
        <v>4</v>
      </c>
    </row>
    <row r="391" spans="1:17">
      <c r="A391" t="s">
        <v>424</v>
      </c>
      <c r="B391" s="1">
        <v>45562</v>
      </c>
      <c r="C391" t="s">
        <v>39</v>
      </c>
      <c r="D391" t="s">
        <v>19</v>
      </c>
      <c r="E391" t="s">
        <v>44</v>
      </c>
      <c r="F391">
        <v>20</v>
      </c>
      <c r="G391">
        <v>1600.13</v>
      </c>
      <c r="H391">
        <v>32002.6</v>
      </c>
      <c r="I391" t="str">
        <f t="shared" si="62"/>
        <v>Bulk Order</v>
      </c>
      <c r="J391" t="str">
        <f t="shared" si="54"/>
        <v>Trendz - Bangalore</v>
      </c>
      <c r="K391">
        <f t="shared" si="55"/>
        <v>9</v>
      </c>
      <c r="L391" t="str">
        <f t="shared" si="56"/>
        <v>Gro</v>
      </c>
      <c r="M391" s="3" t="str">
        <f t="shared" si="57"/>
        <v>RD138</v>
      </c>
      <c r="N391" s="3" t="str">
        <f t="shared" si="58"/>
        <v>bangalore</v>
      </c>
      <c r="O391" s="3" t="str">
        <f t="shared" si="59"/>
        <v>BANGALORE</v>
      </c>
      <c r="P391" s="3" t="str">
        <f t="shared" si="60"/>
        <v>Bangalore</v>
      </c>
      <c r="Q391" s="3">
        <f t="shared" si="61"/>
        <v>4.4721359549995796</v>
      </c>
    </row>
    <row r="392" spans="1:17">
      <c r="A392" t="s">
        <v>425</v>
      </c>
      <c r="B392" s="1">
        <v>45296</v>
      </c>
      <c r="C392" t="s">
        <v>25</v>
      </c>
      <c r="D392" t="s">
        <v>42</v>
      </c>
      <c r="E392" t="s">
        <v>27</v>
      </c>
      <c r="F392">
        <v>16</v>
      </c>
      <c r="G392">
        <v>204.09</v>
      </c>
      <c r="H392">
        <v>3265.44</v>
      </c>
      <c r="I392" t="str">
        <f t="shared" si="62"/>
        <v>Bulk Order</v>
      </c>
      <c r="J392" t="str">
        <f t="shared" si="54"/>
        <v>QuickBuy - Pune</v>
      </c>
      <c r="K392">
        <f t="shared" si="55"/>
        <v>5</v>
      </c>
      <c r="L392" t="str">
        <f t="shared" si="56"/>
        <v>Boo</v>
      </c>
      <c r="M392" s="3" t="str">
        <f t="shared" si="57"/>
        <v>RD139</v>
      </c>
      <c r="N392" s="3" t="str">
        <f t="shared" si="58"/>
        <v>pune</v>
      </c>
      <c r="O392" s="3" t="str">
        <f t="shared" si="59"/>
        <v>PUNE</v>
      </c>
      <c r="P392" s="3" t="str">
        <f t="shared" si="60"/>
        <v>Pune</v>
      </c>
      <c r="Q392" s="3">
        <f t="shared" si="61"/>
        <v>4</v>
      </c>
    </row>
    <row r="393" spans="1:17">
      <c r="A393" t="s">
        <v>426</v>
      </c>
      <c r="B393" s="1">
        <v>45633</v>
      </c>
      <c r="C393" t="s">
        <v>25</v>
      </c>
      <c r="D393" t="s">
        <v>33</v>
      </c>
      <c r="E393" t="s">
        <v>27</v>
      </c>
      <c r="F393">
        <v>10</v>
      </c>
      <c r="G393">
        <v>1920.63</v>
      </c>
      <c r="H393">
        <v>19206.3</v>
      </c>
      <c r="I393" t="str">
        <f t="shared" si="62"/>
        <v>Normal Order</v>
      </c>
      <c r="J393" t="str">
        <f t="shared" si="54"/>
        <v>QuickBuy - Chennai</v>
      </c>
      <c r="K393">
        <f t="shared" si="55"/>
        <v>5</v>
      </c>
      <c r="L393" t="str">
        <f t="shared" si="56"/>
        <v>Boo</v>
      </c>
      <c r="M393" s="3" t="str">
        <f t="shared" si="57"/>
        <v>RD139</v>
      </c>
      <c r="N393" s="3" t="str">
        <f t="shared" si="58"/>
        <v>chennai</v>
      </c>
      <c r="O393" s="3" t="str">
        <f t="shared" si="59"/>
        <v>CHENNAI</v>
      </c>
      <c r="P393" s="3" t="str">
        <f t="shared" si="60"/>
        <v>Chennai</v>
      </c>
      <c r="Q393" s="3">
        <f t="shared" si="61"/>
        <v>3.1622776601683795</v>
      </c>
    </row>
    <row r="394" spans="1:17">
      <c r="A394" t="s">
        <v>427</v>
      </c>
      <c r="B394" s="1">
        <v>45575</v>
      </c>
      <c r="C394" t="s">
        <v>25</v>
      </c>
      <c r="D394" t="s">
        <v>26</v>
      </c>
      <c r="E394" t="s">
        <v>34</v>
      </c>
      <c r="F394">
        <v>18</v>
      </c>
      <c r="G394">
        <v>945.05</v>
      </c>
      <c r="H394">
        <v>17010.900000000001</v>
      </c>
      <c r="I394" t="str">
        <f t="shared" si="62"/>
        <v>Bulk Order</v>
      </c>
      <c r="J394" t="str">
        <f t="shared" si="54"/>
        <v>QuickBuy - Delhi</v>
      </c>
      <c r="K394">
        <f t="shared" si="55"/>
        <v>4</v>
      </c>
      <c r="L394" t="str">
        <f t="shared" si="56"/>
        <v>Toy</v>
      </c>
      <c r="M394" s="3" t="str">
        <f t="shared" si="57"/>
        <v>RD139</v>
      </c>
      <c r="N394" s="3" t="str">
        <f t="shared" si="58"/>
        <v>delhi</v>
      </c>
      <c r="O394" s="3" t="str">
        <f t="shared" si="59"/>
        <v>DELHI</v>
      </c>
      <c r="P394" s="3" t="str">
        <f t="shared" si="60"/>
        <v>Delhi</v>
      </c>
      <c r="Q394" s="3">
        <f t="shared" si="61"/>
        <v>4.2426406871192848</v>
      </c>
    </row>
    <row r="395" spans="1:17">
      <c r="A395" t="s">
        <v>428</v>
      </c>
      <c r="B395" s="1">
        <v>45445</v>
      </c>
      <c r="C395" t="s">
        <v>22</v>
      </c>
      <c r="D395" t="s">
        <v>50</v>
      </c>
      <c r="E395" t="s">
        <v>23</v>
      </c>
      <c r="F395">
        <v>1</v>
      </c>
      <c r="G395">
        <v>524.26</v>
      </c>
      <c r="H395">
        <v>524.26</v>
      </c>
      <c r="I395" t="str">
        <f t="shared" si="62"/>
        <v>Normal Order</v>
      </c>
      <c r="J395" t="str">
        <f t="shared" si="54"/>
        <v>CityStore - Mumbai</v>
      </c>
      <c r="K395">
        <f t="shared" si="55"/>
        <v>8</v>
      </c>
      <c r="L395" t="str">
        <f t="shared" si="56"/>
        <v>Clo</v>
      </c>
      <c r="M395" s="3" t="str">
        <f t="shared" si="57"/>
        <v>RD139</v>
      </c>
      <c r="N395" s="3" t="str">
        <f t="shared" si="58"/>
        <v>mumbai</v>
      </c>
      <c r="O395" s="3" t="str">
        <f t="shared" si="59"/>
        <v>MUMBAI</v>
      </c>
      <c r="P395" s="3" t="str">
        <f t="shared" si="60"/>
        <v>Mumbai</v>
      </c>
      <c r="Q395" s="3">
        <f t="shared" si="61"/>
        <v>1</v>
      </c>
    </row>
    <row r="396" spans="1:17">
      <c r="A396" t="s">
        <v>429</v>
      </c>
      <c r="B396" s="1">
        <v>45631</v>
      </c>
      <c r="C396" t="s">
        <v>25</v>
      </c>
      <c r="D396" t="s">
        <v>26</v>
      </c>
      <c r="E396" t="s">
        <v>44</v>
      </c>
      <c r="F396">
        <v>4</v>
      </c>
      <c r="G396">
        <v>1409.61</v>
      </c>
      <c r="H396">
        <v>5638.44</v>
      </c>
      <c r="I396" t="str">
        <f t="shared" si="62"/>
        <v>Normal Order</v>
      </c>
      <c r="J396" t="str">
        <f t="shared" si="54"/>
        <v>QuickBuy - Delhi</v>
      </c>
      <c r="K396">
        <f t="shared" si="55"/>
        <v>9</v>
      </c>
      <c r="L396" t="str">
        <f t="shared" si="56"/>
        <v>Gro</v>
      </c>
      <c r="M396" s="3" t="str">
        <f t="shared" si="57"/>
        <v>RD139</v>
      </c>
      <c r="N396" s="3" t="str">
        <f t="shared" si="58"/>
        <v>delhi</v>
      </c>
      <c r="O396" s="3" t="str">
        <f t="shared" si="59"/>
        <v>DELHI</v>
      </c>
      <c r="P396" s="3" t="str">
        <f t="shared" si="60"/>
        <v>Delhi</v>
      </c>
      <c r="Q396" s="3">
        <f t="shared" si="61"/>
        <v>2</v>
      </c>
    </row>
    <row r="397" spans="1:17">
      <c r="A397" t="s">
        <v>430</v>
      </c>
      <c r="B397" s="1">
        <v>45345</v>
      </c>
      <c r="C397" t="s">
        <v>39</v>
      </c>
      <c r="D397" t="s">
        <v>26</v>
      </c>
      <c r="E397" t="s">
        <v>20</v>
      </c>
      <c r="F397">
        <v>14</v>
      </c>
      <c r="G397">
        <v>634.95000000000005</v>
      </c>
      <c r="H397">
        <v>8889.3000000000011</v>
      </c>
      <c r="I397" t="str">
        <f t="shared" si="62"/>
        <v>Bulk Order</v>
      </c>
      <c r="J397" t="str">
        <f t="shared" si="54"/>
        <v>Trendz - Delhi</v>
      </c>
      <c r="K397">
        <f t="shared" si="55"/>
        <v>11</v>
      </c>
      <c r="L397" t="str">
        <f t="shared" si="56"/>
        <v>Ele</v>
      </c>
      <c r="M397" s="3" t="str">
        <f t="shared" si="57"/>
        <v>RD139</v>
      </c>
      <c r="N397" s="3" t="str">
        <f t="shared" si="58"/>
        <v>delhi</v>
      </c>
      <c r="O397" s="3" t="str">
        <f t="shared" si="59"/>
        <v>DELHI</v>
      </c>
      <c r="P397" s="3" t="str">
        <f t="shared" si="60"/>
        <v>Delhi</v>
      </c>
      <c r="Q397" s="3">
        <f t="shared" si="61"/>
        <v>3.7416573867739413</v>
      </c>
    </row>
    <row r="398" spans="1:17">
      <c r="A398" t="s">
        <v>431</v>
      </c>
      <c r="B398" s="1">
        <v>45360</v>
      </c>
      <c r="C398" t="s">
        <v>39</v>
      </c>
      <c r="D398" t="s">
        <v>19</v>
      </c>
      <c r="E398" t="s">
        <v>34</v>
      </c>
      <c r="F398">
        <v>5</v>
      </c>
      <c r="G398">
        <v>1664.72</v>
      </c>
      <c r="H398">
        <v>8323.6</v>
      </c>
      <c r="I398" t="str">
        <f t="shared" si="62"/>
        <v>Normal Order</v>
      </c>
      <c r="J398" t="str">
        <f t="shared" si="54"/>
        <v>Trendz - Bangalore</v>
      </c>
      <c r="K398">
        <f t="shared" si="55"/>
        <v>4</v>
      </c>
      <c r="L398" t="str">
        <f t="shared" si="56"/>
        <v>Toy</v>
      </c>
      <c r="M398" s="3" t="str">
        <f t="shared" si="57"/>
        <v>RD139</v>
      </c>
      <c r="N398" s="3" t="str">
        <f t="shared" si="58"/>
        <v>bangalore</v>
      </c>
      <c r="O398" s="3" t="str">
        <f t="shared" si="59"/>
        <v>BANGALORE</v>
      </c>
      <c r="P398" s="3" t="str">
        <f t="shared" si="60"/>
        <v>Bangalore</v>
      </c>
      <c r="Q398" s="3">
        <f t="shared" si="61"/>
        <v>2.2360679774997898</v>
      </c>
    </row>
    <row r="399" spans="1:17">
      <c r="A399" t="s">
        <v>432</v>
      </c>
      <c r="B399" s="1">
        <v>45427</v>
      </c>
      <c r="C399" t="s">
        <v>39</v>
      </c>
      <c r="D399" t="s">
        <v>33</v>
      </c>
      <c r="E399" t="s">
        <v>27</v>
      </c>
      <c r="F399">
        <v>9</v>
      </c>
      <c r="G399">
        <v>207.2</v>
      </c>
      <c r="H399">
        <v>1864.8</v>
      </c>
      <c r="I399" t="str">
        <f t="shared" si="62"/>
        <v>Normal Order</v>
      </c>
      <c r="J399" t="str">
        <f t="shared" si="54"/>
        <v>Trendz - Chennai</v>
      </c>
      <c r="K399">
        <f t="shared" si="55"/>
        <v>5</v>
      </c>
      <c r="L399" t="str">
        <f t="shared" si="56"/>
        <v>Boo</v>
      </c>
      <c r="M399" s="3" t="str">
        <f t="shared" si="57"/>
        <v>RD139</v>
      </c>
      <c r="N399" s="3" t="str">
        <f t="shared" si="58"/>
        <v>chennai</v>
      </c>
      <c r="O399" s="3" t="str">
        <f t="shared" si="59"/>
        <v>CHENNAI</v>
      </c>
      <c r="P399" s="3" t="str">
        <f t="shared" si="60"/>
        <v>Chennai</v>
      </c>
      <c r="Q399" s="3">
        <f t="shared" si="61"/>
        <v>3</v>
      </c>
    </row>
    <row r="400" spans="1:17">
      <c r="A400" t="s">
        <v>433</v>
      </c>
      <c r="B400" s="1">
        <v>45351</v>
      </c>
      <c r="C400" t="s">
        <v>18</v>
      </c>
      <c r="D400" t="s">
        <v>26</v>
      </c>
      <c r="E400" t="s">
        <v>23</v>
      </c>
      <c r="F400">
        <v>12</v>
      </c>
      <c r="G400">
        <v>1983.77</v>
      </c>
      <c r="H400">
        <v>23805.24</v>
      </c>
      <c r="I400" t="str">
        <f t="shared" si="62"/>
        <v>Bulk Order</v>
      </c>
      <c r="J400" t="str">
        <f t="shared" si="54"/>
        <v>ValueShop - Delhi</v>
      </c>
      <c r="K400">
        <f t="shared" si="55"/>
        <v>8</v>
      </c>
      <c r="L400" t="str">
        <f t="shared" si="56"/>
        <v>Clo</v>
      </c>
      <c r="M400" s="3" t="str">
        <f t="shared" si="57"/>
        <v>RD139</v>
      </c>
      <c r="N400" s="3" t="str">
        <f t="shared" si="58"/>
        <v>delhi</v>
      </c>
      <c r="O400" s="3" t="str">
        <f t="shared" si="59"/>
        <v>DELHI</v>
      </c>
      <c r="P400" s="3" t="str">
        <f t="shared" si="60"/>
        <v>Delhi</v>
      </c>
      <c r="Q400" s="3">
        <f t="shared" si="61"/>
        <v>3.4641016151377544</v>
      </c>
    </row>
    <row r="401" spans="1:17">
      <c r="A401" t="s">
        <v>434</v>
      </c>
      <c r="B401" s="1">
        <v>45346</v>
      </c>
      <c r="C401" t="s">
        <v>25</v>
      </c>
      <c r="D401" t="s">
        <v>26</v>
      </c>
      <c r="E401" t="s">
        <v>44</v>
      </c>
      <c r="F401">
        <v>13</v>
      </c>
      <c r="G401">
        <v>1317.29</v>
      </c>
      <c r="H401">
        <v>17124.77</v>
      </c>
      <c r="I401" t="str">
        <f t="shared" si="62"/>
        <v>Bulk Order</v>
      </c>
      <c r="J401" t="str">
        <f t="shared" si="54"/>
        <v>QuickBuy - Delhi</v>
      </c>
      <c r="K401">
        <f t="shared" si="55"/>
        <v>9</v>
      </c>
      <c r="L401" t="str">
        <f t="shared" si="56"/>
        <v>Gro</v>
      </c>
      <c r="M401" s="3" t="str">
        <f t="shared" si="57"/>
        <v>RD139</v>
      </c>
      <c r="N401" s="3" t="str">
        <f t="shared" si="58"/>
        <v>delhi</v>
      </c>
      <c r="O401" s="3" t="str">
        <f t="shared" si="59"/>
        <v>DELHI</v>
      </c>
      <c r="P401" s="3" t="str">
        <f t="shared" si="60"/>
        <v>Delhi</v>
      </c>
      <c r="Q401" s="3">
        <f t="shared" si="61"/>
        <v>3.6055512754639891</v>
      </c>
    </row>
    <row r="402" spans="1:17">
      <c r="A402" t="s">
        <v>435</v>
      </c>
      <c r="B402" s="1">
        <v>45575</v>
      </c>
      <c r="C402" t="s">
        <v>39</v>
      </c>
      <c r="D402" t="s">
        <v>50</v>
      </c>
      <c r="E402" t="s">
        <v>44</v>
      </c>
      <c r="F402">
        <v>12</v>
      </c>
      <c r="G402">
        <v>111.78</v>
      </c>
      <c r="H402">
        <v>1341.36</v>
      </c>
      <c r="I402" t="str">
        <f t="shared" si="62"/>
        <v>Bulk Order</v>
      </c>
      <c r="J402" t="str">
        <f t="shared" si="54"/>
        <v>Trendz - Mumbai</v>
      </c>
      <c r="K402">
        <f t="shared" si="55"/>
        <v>9</v>
      </c>
      <c r="L402" t="str">
        <f t="shared" si="56"/>
        <v>Gro</v>
      </c>
      <c r="M402" s="3" t="str">
        <f t="shared" si="57"/>
        <v>RD140</v>
      </c>
      <c r="N402" s="3" t="str">
        <f t="shared" si="58"/>
        <v>mumbai</v>
      </c>
      <c r="O402" s="3" t="str">
        <f t="shared" si="59"/>
        <v>MUMBAI</v>
      </c>
      <c r="P402" s="3" t="str">
        <f t="shared" si="60"/>
        <v>Mumbai</v>
      </c>
      <c r="Q402" s="3">
        <f t="shared" si="61"/>
        <v>3.4641016151377544</v>
      </c>
    </row>
    <row r="403" spans="1:17">
      <c r="A403" t="s">
        <v>436</v>
      </c>
      <c r="B403" s="1">
        <v>45371</v>
      </c>
      <c r="C403" t="s">
        <v>18</v>
      </c>
      <c r="D403" t="s">
        <v>37</v>
      </c>
      <c r="E403" t="s">
        <v>27</v>
      </c>
      <c r="F403">
        <v>2</v>
      </c>
      <c r="G403">
        <v>840.29</v>
      </c>
      <c r="H403">
        <v>1680.58</v>
      </c>
      <c r="I403" t="str">
        <f t="shared" si="62"/>
        <v>Normal Order</v>
      </c>
      <c r="J403" t="str">
        <f t="shared" si="54"/>
        <v>ValueShop - Hyderabad</v>
      </c>
      <c r="K403">
        <f t="shared" si="55"/>
        <v>5</v>
      </c>
      <c r="L403" t="str">
        <f t="shared" si="56"/>
        <v>Boo</v>
      </c>
      <c r="M403" s="3" t="str">
        <f t="shared" si="57"/>
        <v>RD140</v>
      </c>
      <c r="N403" s="3" t="str">
        <f t="shared" si="58"/>
        <v>hyderabad</v>
      </c>
      <c r="O403" s="3" t="str">
        <f t="shared" si="59"/>
        <v>HYDERABAD</v>
      </c>
      <c r="P403" s="3" t="str">
        <f t="shared" si="60"/>
        <v>Hyderabad</v>
      </c>
      <c r="Q403" s="3">
        <f t="shared" si="61"/>
        <v>1.4142135623730951</v>
      </c>
    </row>
    <row r="404" spans="1:17">
      <c r="A404" t="s">
        <v>437</v>
      </c>
      <c r="B404" s="1">
        <v>45431</v>
      </c>
      <c r="C404" t="s">
        <v>25</v>
      </c>
      <c r="D404" t="s">
        <v>50</v>
      </c>
      <c r="E404" t="s">
        <v>27</v>
      </c>
      <c r="F404">
        <v>13</v>
      </c>
      <c r="G404">
        <v>785.48</v>
      </c>
      <c r="H404">
        <v>10211.24</v>
      </c>
      <c r="I404" t="str">
        <f t="shared" si="62"/>
        <v>Bulk Order</v>
      </c>
      <c r="J404" t="str">
        <f t="shared" si="54"/>
        <v>QuickBuy - Mumbai</v>
      </c>
      <c r="K404">
        <f t="shared" si="55"/>
        <v>5</v>
      </c>
      <c r="L404" t="str">
        <f t="shared" si="56"/>
        <v>Boo</v>
      </c>
      <c r="M404" s="3" t="str">
        <f t="shared" si="57"/>
        <v>RD140</v>
      </c>
      <c r="N404" s="3" t="str">
        <f t="shared" si="58"/>
        <v>mumbai</v>
      </c>
      <c r="O404" s="3" t="str">
        <f t="shared" si="59"/>
        <v>MUMBAI</v>
      </c>
      <c r="P404" s="3" t="str">
        <f t="shared" si="60"/>
        <v>Mumbai</v>
      </c>
      <c r="Q404" s="3">
        <f t="shared" si="61"/>
        <v>3.6055512754639891</v>
      </c>
    </row>
    <row r="405" spans="1:17">
      <c r="A405" t="s">
        <v>438</v>
      </c>
      <c r="B405" s="1">
        <v>45436</v>
      </c>
      <c r="C405" t="s">
        <v>25</v>
      </c>
      <c r="D405" t="s">
        <v>33</v>
      </c>
      <c r="E405" t="s">
        <v>27</v>
      </c>
      <c r="F405">
        <v>2</v>
      </c>
      <c r="G405">
        <v>978.21</v>
      </c>
      <c r="H405">
        <v>1956.42</v>
      </c>
      <c r="I405" t="str">
        <f t="shared" si="62"/>
        <v>Normal Order</v>
      </c>
      <c r="J405" t="str">
        <f t="shared" si="54"/>
        <v>QuickBuy - Chennai</v>
      </c>
      <c r="K405">
        <f t="shared" si="55"/>
        <v>5</v>
      </c>
      <c r="L405" t="str">
        <f t="shared" si="56"/>
        <v>Boo</v>
      </c>
      <c r="M405" s="3" t="str">
        <f t="shared" si="57"/>
        <v>RD140</v>
      </c>
      <c r="N405" s="3" t="str">
        <f t="shared" si="58"/>
        <v>chennai</v>
      </c>
      <c r="O405" s="3" t="str">
        <f t="shared" si="59"/>
        <v>CHENNAI</v>
      </c>
      <c r="P405" s="3" t="str">
        <f t="shared" si="60"/>
        <v>Chennai</v>
      </c>
      <c r="Q405" s="3">
        <f t="shared" si="61"/>
        <v>1.4142135623730951</v>
      </c>
    </row>
    <row r="406" spans="1:17">
      <c r="A406" t="s">
        <v>439</v>
      </c>
      <c r="B406" s="1">
        <v>45601</v>
      </c>
      <c r="C406" t="s">
        <v>32</v>
      </c>
      <c r="D406" t="s">
        <v>33</v>
      </c>
      <c r="E406" t="s">
        <v>30</v>
      </c>
      <c r="F406">
        <v>19</v>
      </c>
      <c r="G406">
        <v>1291.6600000000001</v>
      </c>
      <c r="H406">
        <v>24541.54</v>
      </c>
      <c r="I406" t="str">
        <f t="shared" si="62"/>
        <v>Bulk Order</v>
      </c>
      <c r="J406" t="str">
        <f t="shared" si="54"/>
        <v>MegaMart - Chennai</v>
      </c>
      <c r="K406">
        <f t="shared" si="55"/>
        <v>14</v>
      </c>
      <c r="L406" t="str">
        <f t="shared" si="56"/>
        <v>Hom</v>
      </c>
      <c r="M406" s="3" t="str">
        <f t="shared" si="57"/>
        <v>RD140</v>
      </c>
      <c r="N406" s="3" t="str">
        <f t="shared" si="58"/>
        <v>chennai</v>
      </c>
      <c r="O406" s="3" t="str">
        <f t="shared" si="59"/>
        <v>CHENNAI</v>
      </c>
      <c r="P406" s="3" t="str">
        <f t="shared" si="60"/>
        <v>Chennai</v>
      </c>
      <c r="Q406" s="3">
        <f t="shared" si="61"/>
        <v>4.358898943540674</v>
      </c>
    </row>
    <row r="407" spans="1:17">
      <c r="A407" t="s">
        <v>440</v>
      </c>
      <c r="B407" s="1">
        <v>45399</v>
      </c>
      <c r="C407" t="s">
        <v>25</v>
      </c>
      <c r="D407" t="s">
        <v>19</v>
      </c>
      <c r="E407" t="s">
        <v>23</v>
      </c>
      <c r="F407">
        <v>18</v>
      </c>
      <c r="G407">
        <v>1420.55</v>
      </c>
      <c r="H407">
        <v>25569.9</v>
      </c>
      <c r="I407" t="str">
        <f t="shared" si="62"/>
        <v>Bulk Order</v>
      </c>
      <c r="J407" t="str">
        <f t="shared" si="54"/>
        <v>QuickBuy - Bangalore</v>
      </c>
      <c r="K407">
        <f t="shared" si="55"/>
        <v>8</v>
      </c>
      <c r="L407" t="str">
        <f t="shared" si="56"/>
        <v>Clo</v>
      </c>
      <c r="M407" s="3" t="str">
        <f t="shared" si="57"/>
        <v>RD140</v>
      </c>
      <c r="N407" s="3" t="str">
        <f t="shared" si="58"/>
        <v>bangalore</v>
      </c>
      <c r="O407" s="3" t="str">
        <f t="shared" si="59"/>
        <v>BANGALORE</v>
      </c>
      <c r="P407" s="3" t="str">
        <f t="shared" si="60"/>
        <v>Bangalore</v>
      </c>
      <c r="Q407" s="3">
        <f t="shared" si="61"/>
        <v>4.2426406871192848</v>
      </c>
    </row>
    <row r="408" spans="1:17">
      <c r="A408" t="s">
        <v>441</v>
      </c>
      <c r="B408" s="1">
        <v>45467</v>
      </c>
      <c r="C408" t="s">
        <v>32</v>
      </c>
      <c r="D408" t="s">
        <v>42</v>
      </c>
      <c r="E408" t="s">
        <v>34</v>
      </c>
      <c r="F408">
        <v>7</v>
      </c>
      <c r="G408">
        <v>211.24</v>
      </c>
      <c r="H408">
        <v>1478.68</v>
      </c>
      <c r="I408" t="str">
        <f t="shared" si="62"/>
        <v>Normal Order</v>
      </c>
      <c r="J408" t="str">
        <f t="shared" si="54"/>
        <v>MegaMart - Pune</v>
      </c>
      <c r="K408">
        <f t="shared" si="55"/>
        <v>4</v>
      </c>
      <c r="L408" t="str">
        <f t="shared" si="56"/>
        <v>Toy</v>
      </c>
      <c r="M408" s="3" t="str">
        <f t="shared" si="57"/>
        <v>RD140</v>
      </c>
      <c r="N408" s="3" t="str">
        <f t="shared" si="58"/>
        <v>pune</v>
      </c>
      <c r="O408" s="3" t="str">
        <f t="shared" si="59"/>
        <v>PUNE</v>
      </c>
      <c r="P408" s="3" t="str">
        <f t="shared" si="60"/>
        <v>Pune</v>
      </c>
      <c r="Q408" s="3">
        <f t="shared" si="61"/>
        <v>2.6457513110645907</v>
      </c>
    </row>
    <row r="409" spans="1:17">
      <c r="A409" t="s">
        <v>442</v>
      </c>
      <c r="B409" s="1">
        <v>45396</v>
      </c>
      <c r="C409" t="s">
        <v>22</v>
      </c>
      <c r="D409" t="s">
        <v>42</v>
      </c>
      <c r="E409" t="s">
        <v>27</v>
      </c>
      <c r="F409">
        <v>12</v>
      </c>
      <c r="G409">
        <v>1698.39</v>
      </c>
      <c r="H409">
        <v>20380.68</v>
      </c>
      <c r="I409" t="str">
        <f t="shared" si="62"/>
        <v>Bulk Order</v>
      </c>
      <c r="J409" t="str">
        <f t="shared" si="54"/>
        <v>CityStore - Pune</v>
      </c>
      <c r="K409">
        <f t="shared" si="55"/>
        <v>5</v>
      </c>
      <c r="L409" t="str">
        <f t="shared" si="56"/>
        <v>Boo</v>
      </c>
      <c r="M409" s="3" t="str">
        <f t="shared" si="57"/>
        <v>RD140</v>
      </c>
      <c r="N409" s="3" t="str">
        <f t="shared" si="58"/>
        <v>pune</v>
      </c>
      <c r="O409" s="3" t="str">
        <f t="shared" si="59"/>
        <v>PUNE</v>
      </c>
      <c r="P409" s="3" t="str">
        <f t="shared" si="60"/>
        <v>Pune</v>
      </c>
      <c r="Q409" s="3">
        <f t="shared" si="61"/>
        <v>3.4641016151377544</v>
      </c>
    </row>
    <row r="410" spans="1:17">
      <c r="A410" t="s">
        <v>443</v>
      </c>
      <c r="B410" s="1">
        <v>45643</v>
      </c>
      <c r="C410" t="s">
        <v>22</v>
      </c>
      <c r="D410" t="s">
        <v>42</v>
      </c>
      <c r="E410" t="s">
        <v>20</v>
      </c>
      <c r="F410">
        <v>18</v>
      </c>
      <c r="G410">
        <v>1307.57</v>
      </c>
      <c r="H410">
        <v>23536.26</v>
      </c>
      <c r="I410" t="str">
        <f t="shared" si="62"/>
        <v>Bulk Order</v>
      </c>
      <c r="J410" t="str">
        <f t="shared" si="54"/>
        <v>CityStore - Pune</v>
      </c>
      <c r="K410">
        <f t="shared" si="55"/>
        <v>11</v>
      </c>
      <c r="L410" t="str">
        <f t="shared" si="56"/>
        <v>Ele</v>
      </c>
      <c r="M410" s="3" t="str">
        <f t="shared" si="57"/>
        <v>RD140</v>
      </c>
      <c r="N410" s="3" t="str">
        <f t="shared" si="58"/>
        <v>pune</v>
      </c>
      <c r="O410" s="3" t="str">
        <f t="shared" si="59"/>
        <v>PUNE</v>
      </c>
      <c r="P410" s="3" t="str">
        <f t="shared" si="60"/>
        <v>Pune</v>
      </c>
      <c r="Q410" s="3">
        <f t="shared" si="61"/>
        <v>4.2426406871192848</v>
      </c>
    </row>
    <row r="411" spans="1:17">
      <c r="A411" t="s">
        <v>444</v>
      </c>
      <c r="B411" s="1">
        <v>45616</v>
      </c>
      <c r="C411" t="s">
        <v>18</v>
      </c>
      <c r="D411" t="s">
        <v>37</v>
      </c>
      <c r="E411" t="s">
        <v>44</v>
      </c>
      <c r="F411">
        <v>10</v>
      </c>
      <c r="G411">
        <v>695.98</v>
      </c>
      <c r="H411">
        <v>6959.8</v>
      </c>
      <c r="I411" t="str">
        <f t="shared" si="62"/>
        <v>Normal Order</v>
      </c>
      <c r="J411" t="str">
        <f t="shared" si="54"/>
        <v>ValueShop - Hyderabad</v>
      </c>
      <c r="K411">
        <f t="shared" si="55"/>
        <v>9</v>
      </c>
      <c r="L411" t="str">
        <f t="shared" si="56"/>
        <v>Gro</v>
      </c>
      <c r="M411" s="3" t="str">
        <f t="shared" si="57"/>
        <v>RD140</v>
      </c>
      <c r="N411" s="3" t="str">
        <f t="shared" si="58"/>
        <v>hyderabad</v>
      </c>
      <c r="O411" s="3" t="str">
        <f t="shared" si="59"/>
        <v>HYDERABAD</v>
      </c>
      <c r="P411" s="3" t="str">
        <f t="shared" si="60"/>
        <v>Hyderabad</v>
      </c>
      <c r="Q411" s="3">
        <f t="shared" si="61"/>
        <v>3.1622776601683795</v>
      </c>
    </row>
    <row r="412" spans="1:17">
      <c r="A412" t="s">
        <v>445</v>
      </c>
      <c r="B412" s="1">
        <v>45427</v>
      </c>
      <c r="C412" t="s">
        <v>32</v>
      </c>
      <c r="D412" t="s">
        <v>33</v>
      </c>
      <c r="E412" t="s">
        <v>34</v>
      </c>
      <c r="F412">
        <v>3</v>
      </c>
      <c r="G412">
        <v>1955.79</v>
      </c>
      <c r="H412">
        <v>5867.37</v>
      </c>
      <c r="I412" t="str">
        <f t="shared" si="62"/>
        <v>Normal Order</v>
      </c>
      <c r="J412" t="str">
        <f t="shared" si="54"/>
        <v>MegaMart - Chennai</v>
      </c>
      <c r="K412">
        <f t="shared" si="55"/>
        <v>4</v>
      </c>
      <c r="L412" t="str">
        <f t="shared" si="56"/>
        <v>Toy</v>
      </c>
      <c r="M412" s="3" t="str">
        <f t="shared" si="57"/>
        <v>RD141</v>
      </c>
      <c r="N412" s="3" t="str">
        <f t="shared" si="58"/>
        <v>chennai</v>
      </c>
      <c r="O412" s="3" t="str">
        <f t="shared" si="59"/>
        <v>CHENNAI</v>
      </c>
      <c r="P412" s="3" t="str">
        <f t="shared" si="60"/>
        <v>Chennai</v>
      </c>
      <c r="Q412" s="3">
        <f t="shared" si="61"/>
        <v>1.7320508075688772</v>
      </c>
    </row>
    <row r="413" spans="1:17">
      <c r="A413" t="s">
        <v>446</v>
      </c>
      <c r="B413" s="1">
        <v>45550</v>
      </c>
      <c r="C413" t="s">
        <v>22</v>
      </c>
      <c r="D413" t="s">
        <v>37</v>
      </c>
      <c r="E413" t="s">
        <v>30</v>
      </c>
      <c r="F413">
        <v>13</v>
      </c>
      <c r="G413">
        <v>1948.99</v>
      </c>
      <c r="H413">
        <v>25336.87</v>
      </c>
      <c r="I413" t="str">
        <f t="shared" si="62"/>
        <v>Bulk Order</v>
      </c>
      <c r="J413" t="str">
        <f t="shared" si="54"/>
        <v>CityStore - Hyderabad</v>
      </c>
      <c r="K413">
        <f t="shared" si="55"/>
        <v>14</v>
      </c>
      <c r="L413" t="str">
        <f t="shared" si="56"/>
        <v>Hom</v>
      </c>
      <c r="M413" s="3" t="str">
        <f t="shared" si="57"/>
        <v>RD141</v>
      </c>
      <c r="N413" s="3" t="str">
        <f t="shared" si="58"/>
        <v>hyderabad</v>
      </c>
      <c r="O413" s="3" t="str">
        <f t="shared" si="59"/>
        <v>HYDERABAD</v>
      </c>
      <c r="P413" s="3" t="str">
        <f t="shared" si="60"/>
        <v>Hyderabad</v>
      </c>
      <c r="Q413" s="3">
        <f t="shared" si="61"/>
        <v>3.6055512754639891</v>
      </c>
    </row>
    <row r="414" spans="1:17">
      <c r="A414" t="s">
        <v>447</v>
      </c>
      <c r="B414" s="1">
        <v>45542</v>
      </c>
      <c r="C414" t="s">
        <v>22</v>
      </c>
      <c r="D414" t="s">
        <v>42</v>
      </c>
      <c r="E414" t="s">
        <v>27</v>
      </c>
      <c r="F414">
        <v>17</v>
      </c>
      <c r="G414">
        <v>1794.84</v>
      </c>
      <c r="H414">
        <v>30512.28</v>
      </c>
      <c r="I414" t="str">
        <f t="shared" si="62"/>
        <v>Bulk Order</v>
      </c>
      <c r="J414" t="str">
        <f t="shared" si="54"/>
        <v>CityStore - Pune</v>
      </c>
      <c r="K414">
        <f t="shared" si="55"/>
        <v>5</v>
      </c>
      <c r="L414" t="str">
        <f t="shared" si="56"/>
        <v>Boo</v>
      </c>
      <c r="M414" s="3" t="str">
        <f t="shared" si="57"/>
        <v>RD141</v>
      </c>
      <c r="N414" s="3" t="str">
        <f t="shared" si="58"/>
        <v>pune</v>
      </c>
      <c r="O414" s="3" t="str">
        <f t="shared" si="59"/>
        <v>PUNE</v>
      </c>
      <c r="P414" s="3" t="str">
        <f t="shared" si="60"/>
        <v>Pune</v>
      </c>
      <c r="Q414" s="3">
        <f t="shared" si="61"/>
        <v>4.1231056256176606</v>
      </c>
    </row>
    <row r="415" spans="1:17">
      <c r="A415" t="s">
        <v>448</v>
      </c>
      <c r="B415" s="1">
        <v>45420</v>
      </c>
      <c r="C415" t="s">
        <v>22</v>
      </c>
      <c r="D415" t="s">
        <v>42</v>
      </c>
      <c r="E415" t="s">
        <v>44</v>
      </c>
      <c r="F415">
        <v>15</v>
      </c>
      <c r="G415">
        <v>1842.35</v>
      </c>
      <c r="H415">
        <v>27635.25</v>
      </c>
      <c r="I415" t="str">
        <f t="shared" si="62"/>
        <v>Bulk Order</v>
      </c>
      <c r="J415" t="str">
        <f t="shared" si="54"/>
        <v>CityStore - Pune</v>
      </c>
      <c r="K415">
        <f t="shared" si="55"/>
        <v>9</v>
      </c>
      <c r="L415" t="str">
        <f t="shared" si="56"/>
        <v>Gro</v>
      </c>
      <c r="M415" s="3" t="str">
        <f t="shared" si="57"/>
        <v>RD141</v>
      </c>
      <c r="N415" s="3" t="str">
        <f t="shared" si="58"/>
        <v>pune</v>
      </c>
      <c r="O415" s="3" t="str">
        <f t="shared" si="59"/>
        <v>PUNE</v>
      </c>
      <c r="P415" s="3" t="str">
        <f t="shared" si="60"/>
        <v>Pune</v>
      </c>
      <c r="Q415" s="3">
        <f t="shared" si="61"/>
        <v>3.872983346207417</v>
      </c>
    </row>
    <row r="416" spans="1:17">
      <c r="A416" t="s">
        <v>449</v>
      </c>
      <c r="B416" s="1">
        <v>45318</v>
      </c>
      <c r="C416" t="s">
        <v>25</v>
      </c>
      <c r="D416" t="s">
        <v>50</v>
      </c>
      <c r="E416" t="s">
        <v>23</v>
      </c>
      <c r="F416">
        <v>18</v>
      </c>
      <c r="G416">
        <v>498.04</v>
      </c>
      <c r="H416">
        <v>8964.7200000000012</v>
      </c>
      <c r="I416" t="str">
        <f t="shared" si="62"/>
        <v>Bulk Order</v>
      </c>
      <c r="J416" t="str">
        <f t="shared" si="54"/>
        <v>QuickBuy - Mumbai</v>
      </c>
      <c r="K416">
        <f t="shared" si="55"/>
        <v>8</v>
      </c>
      <c r="L416" t="str">
        <f t="shared" si="56"/>
        <v>Clo</v>
      </c>
      <c r="M416" s="3" t="str">
        <f t="shared" si="57"/>
        <v>RD141</v>
      </c>
      <c r="N416" s="3" t="str">
        <f t="shared" si="58"/>
        <v>mumbai</v>
      </c>
      <c r="O416" s="3" t="str">
        <f t="shared" si="59"/>
        <v>MUMBAI</v>
      </c>
      <c r="P416" s="3" t="str">
        <f t="shared" si="60"/>
        <v>Mumbai</v>
      </c>
      <c r="Q416" s="3">
        <f t="shared" si="61"/>
        <v>4.2426406871192848</v>
      </c>
    </row>
    <row r="417" spans="1:17">
      <c r="A417" t="s">
        <v>450</v>
      </c>
      <c r="B417" s="1">
        <v>45339</v>
      </c>
      <c r="C417" t="s">
        <v>32</v>
      </c>
      <c r="D417" t="s">
        <v>33</v>
      </c>
      <c r="E417" t="s">
        <v>27</v>
      </c>
      <c r="F417">
        <v>9</v>
      </c>
      <c r="G417">
        <v>1807.48</v>
      </c>
      <c r="H417">
        <v>16267.32</v>
      </c>
      <c r="I417" t="str">
        <f t="shared" si="62"/>
        <v>Normal Order</v>
      </c>
      <c r="J417" t="str">
        <f t="shared" si="54"/>
        <v>MegaMart - Chennai</v>
      </c>
      <c r="K417">
        <f t="shared" si="55"/>
        <v>5</v>
      </c>
      <c r="L417" t="str">
        <f t="shared" si="56"/>
        <v>Boo</v>
      </c>
      <c r="M417" s="3" t="str">
        <f t="shared" si="57"/>
        <v>RD141</v>
      </c>
      <c r="N417" s="3" t="str">
        <f t="shared" si="58"/>
        <v>chennai</v>
      </c>
      <c r="O417" s="3" t="str">
        <f t="shared" si="59"/>
        <v>CHENNAI</v>
      </c>
      <c r="P417" s="3" t="str">
        <f t="shared" si="60"/>
        <v>Chennai</v>
      </c>
      <c r="Q417" s="3">
        <f t="shared" si="61"/>
        <v>3</v>
      </c>
    </row>
    <row r="418" spans="1:17">
      <c r="A418" t="s">
        <v>451</v>
      </c>
      <c r="B418" s="1">
        <v>45616</v>
      </c>
      <c r="C418" t="s">
        <v>22</v>
      </c>
      <c r="D418" t="s">
        <v>42</v>
      </c>
      <c r="E418" t="s">
        <v>27</v>
      </c>
      <c r="F418">
        <v>20</v>
      </c>
      <c r="G418">
        <v>1399.96</v>
      </c>
      <c r="H418">
        <v>27999.200000000001</v>
      </c>
      <c r="I418" t="str">
        <f t="shared" si="62"/>
        <v>Bulk Order</v>
      </c>
      <c r="J418" t="str">
        <f t="shared" si="54"/>
        <v>CityStore - Pune</v>
      </c>
      <c r="K418">
        <f t="shared" si="55"/>
        <v>5</v>
      </c>
      <c r="L418" t="str">
        <f t="shared" si="56"/>
        <v>Boo</v>
      </c>
      <c r="M418" s="3" t="str">
        <f t="shared" si="57"/>
        <v>RD141</v>
      </c>
      <c r="N418" s="3" t="str">
        <f t="shared" si="58"/>
        <v>pune</v>
      </c>
      <c r="O418" s="3" t="str">
        <f t="shared" si="59"/>
        <v>PUNE</v>
      </c>
      <c r="P418" s="3" t="str">
        <f t="shared" si="60"/>
        <v>Pune</v>
      </c>
      <c r="Q418" s="3">
        <f t="shared" si="61"/>
        <v>4.4721359549995796</v>
      </c>
    </row>
    <row r="419" spans="1:17">
      <c r="A419" t="s">
        <v>452</v>
      </c>
      <c r="B419" s="1">
        <v>45508</v>
      </c>
      <c r="C419" t="s">
        <v>32</v>
      </c>
      <c r="D419" t="s">
        <v>26</v>
      </c>
      <c r="E419" t="s">
        <v>27</v>
      </c>
      <c r="F419">
        <v>20</v>
      </c>
      <c r="G419">
        <v>1155.23</v>
      </c>
      <c r="H419">
        <v>23104.6</v>
      </c>
      <c r="I419" t="str">
        <f t="shared" si="62"/>
        <v>Bulk Order</v>
      </c>
      <c r="J419" t="str">
        <f t="shared" si="54"/>
        <v>MegaMart - Delhi</v>
      </c>
      <c r="K419">
        <f t="shared" si="55"/>
        <v>5</v>
      </c>
      <c r="L419" t="str">
        <f t="shared" si="56"/>
        <v>Boo</v>
      </c>
      <c r="M419" s="3" t="str">
        <f t="shared" si="57"/>
        <v>RD141</v>
      </c>
      <c r="N419" s="3" t="str">
        <f t="shared" si="58"/>
        <v>delhi</v>
      </c>
      <c r="O419" s="3" t="str">
        <f t="shared" si="59"/>
        <v>DELHI</v>
      </c>
      <c r="P419" s="3" t="str">
        <f t="shared" si="60"/>
        <v>Delhi</v>
      </c>
      <c r="Q419" s="3">
        <f t="shared" si="61"/>
        <v>4.4721359549995796</v>
      </c>
    </row>
    <row r="420" spans="1:17">
      <c r="A420" t="s">
        <v>453</v>
      </c>
      <c r="B420" s="1">
        <v>45433</v>
      </c>
      <c r="C420" t="s">
        <v>39</v>
      </c>
      <c r="D420" t="s">
        <v>29</v>
      </c>
      <c r="E420" t="s">
        <v>27</v>
      </c>
      <c r="F420">
        <v>4</v>
      </c>
      <c r="G420">
        <v>578.64</v>
      </c>
      <c r="H420">
        <v>2314.56</v>
      </c>
      <c r="I420" t="str">
        <f t="shared" si="62"/>
        <v>Normal Order</v>
      </c>
      <c r="J420" t="str">
        <f t="shared" si="54"/>
        <v>Trendz - Kolkata</v>
      </c>
      <c r="K420">
        <f t="shared" si="55"/>
        <v>5</v>
      </c>
      <c r="L420" t="str">
        <f t="shared" si="56"/>
        <v>Boo</v>
      </c>
      <c r="M420" s="3" t="str">
        <f t="shared" si="57"/>
        <v>RD141</v>
      </c>
      <c r="N420" s="3" t="str">
        <f t="shared" si="58"/>
        <v>kolkata</v>
      </c>
      <c r="O420" s="3" t="str">
        <f t="shared" si="59"/>
        <v>KOLKATA</v>
      </c>
      <c r="P420" s="3" t="str">
        <f t="shared" si="60"/>
        <v>Kolkata</v>
      </c>
      <c r="Q420" s="3">
        <f t="shared" si="61"/>
        <v>2</v>
      </c>
    </row>
    <row r="421" spans="1:17">
      <c r="A421" t="s">
        <v>454</v>
      </c>
      <c r="B421" s="1">
        <v>45314</v>
      </c>
      <c r="C421" t="s">
        <v>39</v>
      </c>
      <c r="D421" t="s">
        <v>33</v>
      </c>
      <c r="E421" t="s">
        <v>34</v>
      </c>
      <c r="F421">
        <v>5</v>
      </c>
      <c r="G421">
        <v>1852.11</v>
      </c>
      <c r="H421">
        <v>9260.5499999999993</v>
      </c>
      <c r="I421" t="str">
        <f t="shared" si="62"/>
        <v>Normal Order</v>
      </c>
      <c r="J421" t="str">
        <f t="shared" si="54"/>
        <v>Trendz - Chennai</v>
      </c>
      <c r="K421">
        <f t="shared" si="55"/>
        <v>4</v>
      </c>
      <c r="L421" t="str">
        <f t="shared" si="56"/>
        <v>Toy</v>
      </c>
      <c r="M421" s="3" t="str">
        <f t="shared" si="57"/>
        <v>RD141</v>
      </c>
      <c r="N421" s="3" t="str">
        <f t="shared" si="58"/>
        <v>chennai</v>
      </c>
      <c r="O421" s="3" t="str">
        <f t="shared" si="59"/>
        <v>CHENNAI</v>
      </c>
      <c r="P421" s="3" t="str">
        <f t="shared" si="60"/>
        <v>Chennai</v>
      </c>
      <c r="Q421" s="3">
        <f t="shared" si="61"/>
        <v>2.2360679774997898</v>
      </c>
    </row>
    <row r="422" spans="1:17">
      <c r="A422" t="s">
        <v>455</v>
      </c>
      <c r="B422" s="1">
        <v>45293</v>
      </c>
      <c r="C422" t="s">
        <v>25</v>
      </c>
      <c r="D422" t="s">
        <v>37</v>
      </c>
      <c r="E422" t="s">
        <v>20</v>
      </c>
      <c r="F422">
        <v>4</v>
      </c>
      <c r="G422">
        <v>1384.64</v>
      </c>
      <c r="H422">
        <v>5538.56</v>
      </c>
      <c r="I422" t="str">
        <f t="shared" si="62"/>
        <v>Normal Order</v>
      </c>
      <c r="J422" t="str">
        <f t="shared" si="54"/>
        <v>QuickBuy - Hyderabad</v>
      </c>
      <c r="K422">
        <f t="shared" si="55"/>
        <v>11</v>
      </c>
      <c r="L422" t="str">
        <f t="shared" si="56"/>
        <v>Ele</v>
      </c>
      <c r="M422" s="3" t="str">
        <f t="shared" si="57"/>
        <v>RD142</v>
      </c>
      <c r="N422" s="3" t="str">
        <f t="shared" si="58"/>
        <v>hyderabad</v>
      </c>
      <c r="O422" s="3" t="str">
        <f t="shared" si="59"/>
        <v>HYDERABAD</v>
      </c>
      <c r="P422" s="3" t="str">
        <f t="shared" si="60"/>
        <v>Hyderabad</v>
      </c>
      <c r="Q422" s="3">
        <f t="shared" si="61"/>
        <v>2</v>
      </c>
    </row>
    <row r="423" spans="1:17">
      <c r="A423" t="s">
        <v>456</v>
      </c>
      <c r="B423" s="1">
        <v>45462</v>
      </c>
      <c r="C423" t="s">
        <v>39</v>
      </c>
      <c r="D423" t="s">
        <v>33</v>
      </c>
      <c r="E423" t="s">
        <v>27</v>
      </c>
      <c r="F423">
        <v>13</v>
      </c>
      <c r="G423">
        <v>596.73</v>
      </c>
      <c r="H423">
        <v>7757.49</v>
      </c>
      <c r="I423" t="str">
        <f t="shared" si="62"/>
        <v>Bulk Order</v>
      </c>
      <c r="J423" t="str">
        <f t="shared" si="54"/>
        <v>Trendz - Chennai</v>
      </c>
      <c r="K423">
        <f t="shared" si="55"/>
        <v>5</v>
      </c>
      <c r="L423" t="str">
        <f t="shared" si="56"/>
        <v>Boo</v>
      </c>
      <c r="M423" s="3" t="str">
        <f t="shared" si="57"/>
        <v>RD142</v>
      </c>
      <c r="N423" s="3" t="str">
        <f t="shared" si="58"/>
        <v>chennai</v>
      </c>
      <c r="O423" s="3" t="str">
        <f t="shared" si="59"/>
        <v>CHENNAI</v>
      </c>
      <c r="P423" s="3" t="str">
        <f t="shared" si="60"/>
        <v>Chennai</v>
      </c>
      <c r="Q423" s="3">
        <f t="shared" si="61"/>
        <v>3.6055512754639891</v>
      </c>
    </row>
    <row r="424" spans="1:17">
      <c r="A424" t="s">
        <v>457</v>
      </c>
      <c r="B424" s="1">
        <v>45358</v>
      </c>
      <c r="C424" t="s">
        <v>18</v>
      </c>
      <c r="D424" t="s">
        <v>19</v>
      </c>
      <c r="E424" t="s">
        <v>27</v>
      </c>
      <c r="F424">
        <v>12</v>
      </c>
      <c r="G424">
        <v>1108.9100000000001</v>
      </c>
      <c r="H424">
        <v>13306.92</v>
      </c>
      <c r="I424" t="str">
        <f t="shared" si="62"/>
        <v>Bulk Order</v>
      </c>
      <c r="J424" t="str">
        <f t="shared" si="54"/>
        <v>ValueShop - Bangalore</v>
      </c>
      <c r="K424">
        <f t="shared" si="55"/>
        <v>5</v>
      </c>
      <c r="L424" t="str">
        <f t="shared" si="56"/>
        <v>Boo</v>
      </c>
      <c r="M424" s="3" t="str">
        <f t="shared" si="57"/>
        <v>RD142</v>
      </c>
      <c r="N424" s="3" t="str">
        <f t="shared" si="58"/>
        <v>bangalore</v>
      </c>
      <c r="O424" s="3" t="str">
        <f t="shared" si="59"/>
        <v>BANGALORE</v>
      </c>
      <c r="P424" s="3" t="str">
        <f t="shared" si="60"/>
        <v>Bangalore</v>
      </c>
      <c r="Q424" s="3">
        <f t="shared" si="61"/>
        <v>3.4641016151377544</v>
      </c>
    </row>
    <row r="425" spans="1:17">
      <c r="A425" t="s">
        <v>458</v>
      </c>
      <c r="B425" s="1">
        <v>45618</v>
      </c>
      <c r="C425" t="s">
        <v>32</v>
      </c>
      <c r="D425" t="s">
        <v>26</v>
      </c>
      <c r="E425" t="s">
        <v>30</v>
      </c>
      <c r="F425">
        <v>11</v>
      </c>
      <c r="G425">
        <v>1333.31</v>
      </c>
      <c r="H425">
        <v>14666.41</v>
      </c>
      <c r="I425" t="str">
        <f t="shared" si="62"/>
        <v>Bulk Order</v>
      </c>
      <c r="J425" t="str">
        <f t="shared" si="54"/>
        <v>MegaMart - Delhi</v>
      </c>
      <c r="K425">
        <f t="shared" si="55"/>
        <v>14</v>
      </c>
      <c r="L425" t="str">
        <f t="shared" si="56"/>
        <v>Hom</v>
      </c>
      <c r="M425" s="3" t="str">
        <f t="shared" si="57"/>
        <v>RD142</v>
      </c>
      <c r="N425" s="3" t="str">
        <f t="shared" si="58"/>
        <v>delhi</v>
      </c>
      <c r="O425" s="3" t="str">
        <f t="shared" si="59"/>
        <v>DELHI</v>
      </c>
      <c r="P425" s="3" t="str">
        <f t="shared" si="60"/>
        <v>Delhi</v>
      </c>
      <c r="Q425" s="3">
        <f t="shared" si="61"/>
        <v>3.3166247903553998</v>
      </c>
    </row>
    <row r="426" spans="1:17">
      <c r="A426" t="s">
        <v>459</v>
      </c>
      <c r="B426" s="1">
        <v>45426</v>
      </c>
      <c r="C426" t="s">
        <v>22</v>
      </c>
      <c r="D426" t="s">
        <v>42</v>
      </c>
      <c r="E426" t="s">
        <v>34</v>
      </c>
      <c r="F426">
        <v>18</v>
      </c>
      <c r="G426">
        <v>399.74</v>
      </c>
      <c r="H426">
        <v>7195.32</v>
      </c>
      <c r="I426" t="str">
        <f t="shared" si="62"/>
        <v>Bulk Order</v>
      </c>
      <c r="J426" t="str">
        <f t="shared" si="54"/>
        <v>CityStore - Pune</v>
      </c>
      <c r="K426">
        <f t="shared" si="55"/>
        <v>4</v>
      </c>
      <c r="L426" t="str">
        <f t="shared" si="56"/>
        <v>Toy</v>
      </c>
      <c r="M426" s="3" t="str">
        <f t="shared" si="57"/>
        <v>RD142</v>
      </c>
      <c r="N426" s="3" t="str">
        <f t="shared" si="58"/>
        <v>pune</v>
      </c>
      <c r="O426" s="3" t="str">
        <f t="shared" si="59"/>
        <v>PUNE</v>
      </c>
      <c r="P426" s="3" t="str">
        <f t="shared" si="60"/>
        <v>Pune</v>
      </c>
      <c r="Q426" s="3">
        <f t="shared" si="61"/>
        <v>4.2426406871192848</v>
      </c>
    </row>
    <row r="427" spans="1:17">
      <c r="A427" t="s">
        <v>460</v>
      </c>
      <c r="B427" s="1">
        <v>45374</v>
      </c>
      <c r="C427" t="s">
        <v>18</v>
      </c>
      <c r="D427" t="s">
        <v>19</v>
      </c>
      <c r="E427" t="s">
        <v>44</v>
      </c>
      <c r="F427">
        <v>12</v>
      </c>
      <c r="G427">
        <v>1708.33</v>
      </c>
      <c r="H427">
        <v>20499.96</v>
      </c>
      <c r="I427" t="str">
        <f t="shared" si="62"/>
        <v>Bulk Order</v>
      </c>
      <c r="J427" t="str">
        <f t="shared" si="54"/>
        <v>ValueShop - Bangalore</v>
      </c>
      <c r="K427">
        <f t="shared" si="55"/>
        <v>9</v>
      </c>
      <c r="L427" t="str">
        <f t="shared" si="56"/>
        <v>Gro</v>
      </c>
      <c r="M427" s="3" t="str">
        <f t="shared" si="57"/>
        <v>RD142</v>
      </c>
      <c r="N427" s="3" t="str">
        <f t="shared" si="58"/>
        <v>bangalore</v>
      </c>
      <c r="O427" s="3" t="str">
        <f t="shared" si="59"/>
        <v>BANGALORE</v>
      </c>
      <c r="P427" s="3" t="str">
        <f t="shared" si="60"/>
        <v>Bangalore</v>
      </c>
      <c r="Q427" s="3">
        <f t="shared" si="61"/>
        <v>3.4641016151377544</v>
      </c>
    </row>
    <row r="428" spans="1:17">
      <c r="A428" t="s">
        <v>461</v>
      </c>
      <c r="B428" s="1">
        <v>45518</v>
      </c>
      <c r="C428" t="s">
        <v>18</v>
      </c>
      <c r="D428" t="s">
        <v>50</v>
      </c>
      <c r="E428" t="s">
        <v>20</v>
      </c>
      <c r="F428">
        <v>5</v>
      </c>
      <c r="G428">
        <v>80.53</v>
      </c>
      <c r="H428">
        <v>402.65</v>
      </c>
      <c r="I428" t="str">
        <f t="shared" si="62"/>
        <v>Normal Order</v>
      </c>
      <c r="J428" t="str">
        <f t="shared" si="54"/>
        <v>ValueShop - Mumbai</v>
      </c>
      <c r="K428">
        <f t="shared" si="55"/>
        <v>11</v>
      </c>
      <c r="L428" t="str">
        <f t="shared" si="56"/>
        <v>Ele</v>
      </c>
      <c r="M428" s="3" t="str">
        <f t="shared" si="57"/>
        <v>RD142</v>
      </c>
      <c r="N428" s="3" t="str">
        <f t="shared" si="58"/>
        <v>mumbai</v>
      </c>
      <c r="O428" s="3" t="str">
        <f t="shared" si="59"/>
        <v>MUMBAI</v>
      </c>
      <c r="P428" s="3" t="str">
        <f t="shared" si="60"/>
        <v>Mumbai</v>
      </c>
      <c r="Q428" s="3">
        <f t="shared" si="61"/>
        <v>2.2360679774997898</v>
      </c>
    </row>
    <row r="429" spans="1:17">
      <c r="A429" t="s">
        <v>462</v>
      </c>
      <c r="B429" s="1">
        <v>45574</v>
      </c>
      <c r="C429" t="s">
        <v>39</v>
      </c>
      <c r="D429" t="s">
        <v>33</v>
      </c>
      <c r="E429" t="s">
        <v>44</v>
      </c>
      <c r="F429">
        <v>7</v>
      </c>
      <c r="G429">
        <v>453.96</v>
      </c>
      <c r="H429">
        <v>3177.72</v>
      </c>
      <c r="I429" t="str">
        <f t="shared" si="62"/>
        <v>Normal Order</v>
      </c>
      <c r="J429" t="str">
        <f t="shared" si="54"/>
        <v>Trendz - Chennai</v>
      </c>
      <c r="K429">
        <f t="shared" si="55"/>
        <v>9</v>
      </c>
      <c r="L429" t="str">
        <f t="shared" si="56"/>
        <v>Gro</v>
      </c>
      <c r="M429" s="3" t="str">
        <f t="shared" si="57"/>
        <v>RD142</v>
      </c>
      <c r="N429" s="3" t="str">
        <f t="shared" si="58"/>
        <v>chennai</v>
      </c>
      <c r="O429" s="3" t="str">
        <f t="shared" si="59"/>
        <v>CHENNAI</v>
      </c>
      <c r="P429" s="3" t="str">
        <f t="shared" si="60"/>
        <v>Chennai</v>
      </c>
      <c r="Q429" s="3">
        <f t="shared" si="61"/>
        <v>2.6457513110645907</v>
      </c>
    </row>
    <row r="430" spans="1:17">
      <c r="A430" t="s">
        <v>463</v>
      </c>
      <c r="B430" s="1">
        <v>45653</v>
      </c>
      <c r="C430" t="s">
        <v>32</v>
      </c>
      <c r="D430" t="s">
        <v>33</v>
      </c>
      <c r="E430" t="s">
        <v>44</v>
      </c>
      <c r="F430">
        <v>20</v>
      </c>
      <c r="G430">
        <v>331.17</v>
      </c>
      <c r="H430">
        <v>6623.4000000000005</v>
      </c>
      <c r="I430" t="str">
        <f t="shared" si="62"/>
        <v>Bulk Order</v>
      </c>
      <c r="J430" t="str">
        <f t="shared" si="54"/>
        <v>MegaMart - Chennai</v>
      </c>
      <c r="K430">
        <f t="shared" si="55"/>
        <v>9</v>
      </c>
      <c r="L430" t="str">
        <f t="shared" si="56"/>
        <v>Gro</v>
      </c>
      <c r="M430" s="3" t="str">
        <f t="shared" si="57"/>
        <v>RD142</v>
      </c>
      <c r="N430" s="3" t="str">
        <f t="shared" si="58"/>
        <v>chennai</v>
      </c>
      <c r="O430" s="3" t="str">
        <f t="shared" si="59"/>
        <v>CHENNAI</v>
      </c>
      <c r="P430" s="3" t="str">
        <f t="shared" si="60"/>
        <v>Chennai</v>
      </c>
      <c r="Q430" s="3">
        <f t="shared" si="61"/>
        <v>4.4721359549995796</v>
      </c>
    </row>
    <row r="431" spans="1:17">
      <c r="A431" t="s">
        <v>464</v>
      </c>
      <c r="B431" s="1">
        <v>45510</v>
      </c>
      <c r="C431" t="s">
        <v>22</v>
      </c>
      <c r="D431" t="s">
        <v>50</v>
      </c>
      <c r="E431" t="s">
        <v>23</v>
      </c>
      <c r="F431">
        <v>17</v>
      </c>
      <c r="G431">
        <v>1650.35</v>
      </c>
      <c r="H431">
        <v>28055.95</v>
      </c>
      <c r="I431" t="str">
        <f t="shared" si="62"/>
        <v>Bulk Order</v>
      </c>
      <c r="J431" t="str">
        <f t="shared" si="54"/>
        <v>CityStore - Mumbai</v>
      </c>
      <c r="K431">
        <f t="shared" si="55"/>
        <v>8</v>
      </c>
      <c r="L431" t="str">
        <f t="shared" si="56"/>
        <v>Clo</v>
      </c>
      <c r="M431" s="3" t="str">
        <f t="shared" si="57"/>
        <v>RD142</v>
      </c>
      <c r="N431" s="3" t="str">
        <f t="shared" si="58"/>
        <v>mumbai</v>
      </c>
      <c r="O431" s="3" t="str">
        <f t="shared" si="59"/>
        <v>MUMBAI</v>
      </c>
      <c r="P431" s="3" t="str">
        <f t="shared" si="60"/>
        <v>Mumbai</v>
      </c>
      <c r="Q431" s="3">
        <f t="shared" si="61"/>
        <v>4.1231056256176606</v>
      </c>
    </row>
    <row r="432" spans="1:17">
      <c r="A432" t="s">
        <v>465</v>
      </c>
      <c r="B432" s="1">
        <v>45579</v>
      </c>
      <c r="C432" t="s">
        <v>18</v>
      </c>
      <c r="D432" t="s">
        <v>29</v>
      </c>
      <c r="E432" t="s">
        <v>23</v>
      </c>
      <c r="F432">
        <v>13</v>
      </c>
      <c r="G432">
        <v>1650.76</v>
      </c>
      <c r="H432">
        <v>21459.88</v>
      </c>
      <c r="I432" t="str">
        <f t="shared" si="62"/>
        <v>Bulk Order</v>
      </c>
      <c r="J432" t="str">
        <f t="shared" si="54"/>
        <v>ValueShop - Kolkata</v>
      </c>
      <c r="K432">
        <f t="shared" si="55"/>
        <v>8</v>
      </c>
      <c r="L432" t="str">
        <f t="shared" si="56"/>
        <v>Clo</v>
      </c>
      <c r="M432" s="3" t="str">
        <f t="shared" si="57"/>
        <v>RD143</v>
      </c>
      <c r="N432" s="3" t="str">
        <f t="shared" si="58"/>
        <v>kolkata</v>
      </c>
      <c r="O432" s="3" t="str">
        <f t="shared" si="59"/>
        <v>KOLKATA</v>
      </c>
      <c r="P432" s="3" t="str">
        <f t="shared" si="60"/>
        <v>Kolkata</v>
      </c>
      <c r="Q432" s="3">
        <f t="shared" si="61"/>
        <v>3.6055512754639891</v>
      </c>
    </row>
    <row r="433" spans="1:17">
      <c r="A433" t="s">
        <v>466</v>
      </c>
      <c r="B433" s="1">
        <v>45296</v>
      </c>
      <c r="C433" t="s">
        <v>25</v>
      </c>
      <c r="D433" t="s">
        <v>19</v>
      </c>
      <c r="E433" t="s">
        <v>44</v>
      </c>
      <c r="F433">
        <v>17</v>
      </c>
      <c r="G433">
        <v>1861.31</v>
      </c>
      <c r="H433">
        <v>31642.27</v>
      </c>
      <c r="I433" t="str">
        <f t="shared" si="62"/>
        <v>Bulk Order</v>
      </c>
      <c r="J433" t="str">
        <f t="shared" si="54"/>
        <v>QuickBuy - Bangalore</v>
      </c>
      <c r="K433">
        <f t="shared" si="55"/>
        <v>9</v>
      </c>
      <c r="L433" t="str">
        <f t="shared" si="56"/>
        <v>Gro</v>
      </c>
      <c r="M433" s="3" t="str">
        <f t="shared" si="57"/>
        <v>RD143</v>
      </c>
      <c r="N433" s="3" t="str">
        <f t="shared" si="58"/>
        <v>bangalore</v>
      </c>
      <c r="O433" s="3" t="str">
        <f t="shared" si="59"/>
        <v>BANGALORE</v>
      </c>
      <c r="P433" s="3" t="str">
        <f t="shared" si="60"/>
        <v>Bangalore</v>
      </c>
      <c r="Q433" s="3">
        <f t="shared" si="61"/>
        <v>4.1231056256176606</v>
      </c>
    </row>
    <row r="434" spans="1:17">
      <c r="A434" t="s">
        <v>467</v>
      </c>
      <c r="B434" s="1">
        <v>45349</v>
      </c>
      <c r="C434" t="s">
        <v>22</v>
      </c>
      <c r="D434" t="s">
        <v>26</v>
      </c>
      <c r="E434" t="s">
        <v>30</v>
      </c>
      <c r="F434">
        <v>2</v>
      </c>
      <c r="G434">
        <v>633.59</v>
      </c>
      <c r="H434">
        <v>1267.18</v>
      </c>
      <c r="I434" t="str">
        <f t="shared" si="62"/>
        <v>Normal Order</v>
      </c>
      <c r="J434" t="str">
        <f t="shared" si="54"/>
        <v>CityStore - Delhi</v>
      </c>
      <c r="K434">
        <f t="shared" si="55"/>
        <v>14</v>
      </c>
      <c r="L434" t="str">
        <f t="shared" si="56"/>
        <v>Hom</v>
      </c>
      <c r="M434" s="3" t="str">
        <f t="shared" si="57"/>
        <v>RD143</v>
      </c>
      <c r="N434" s="3" t="str">
        <f t="shared" si="58"/>
        <v>delhi</v>
      </c>
      <c r="O434" s="3" t="str">
        <f t="shared" si="59"/>
        <v>DELHI</v>
      </c>
      <c r="P434" s="3" t="str">
        <f t="shared" si="60"/>
        <v>Delhi</v>
      </c>
      <c r="Q434" s="3">
        <f t="shared" si="61"/>
        <v>1.4142135623730951</v>
      </c>
    </row>
    <row r="435" spans="1:17">
      <c r="A435" t="s">
        <v>468</v>
      </c>
      <c r="B435" s="1">
        <v>45330</v>
      </c>
      <c r="C435" t="s">
        <v>39</v>
      </c>
      <c r="D435" t="s">
        <v>42</v>
      </c>
      <c r="E435" t="s">
        <v>23</v>
      </c>
      <c r="F435">
        <v>2</v>
      </c>
      <c r="G435">
        <v>1149.72</v>
      </c>
      <c r="H435">
        <v>2299.44</v>
      </c>
      <c r="I435" t="str">
        <f t="shared" si="62"/>
        <v>Normal Order</v>
      </c>
      <c r="J435" t="str">
        <f t="shared" si="54"/>
        <v>Trendz - Pune</v>
      </c>
      <c r="K435">
        <f t="shared" si="55"/>
        <v>8</v>
      </c>
      <c r="L435" t="str">
        <f t="shared" si="56"/>
        <v>Clo</v>
      </c>
      <c r="M435" s="3" t="str">
        <f t="shared" si="57"/>
        <v>RD143</v>
      </c>
      <c r="N435" s="3" t="str">
        <f t="shared" si="58"/>
        <v>pune</v>
      </c>
      <c r="O435" s="3" t="str">
        <f t="shared" si="59"/>
        <v>PUNE</v>
      </c>
      <c r="P435" s="3" t="str">
        <f t="shared" si="60"/>
        <v>Pune</v>
      </c>
      <c r="Q435" s="3">
        <f t="shared" si="61"/>
        <v>1.4142135623730951</v>
      </c>
    </row>
    <row r="436" spans="1:17">
      <c r="A436" t="s">
        <v>469</v>
      </c>
      <c r="B436" s="1">
        <v>45645</v>
      </c>
      <c r="C436" t="s">
        <v>32</v>
      </c>
      <c r="D436" t="s">
        <v>19</v>
      </c>
      <c r="E436" t="s">
        <v>23</v>
      </c>
      <c r="F436">
        <v>2</v>
      </c>
      <c r="G436">
        <v>1155.06</v>
      </c>
      <c r="H436">
        <v>2310.12</v>
      </c>
      <c r="I436" t="str">
        <f t="shared" si="62"/>
        <v>Normal Order</v>
      </c>
      <c r="J436" t="str">
        <f t="shared" si="54"/>
        <v>MegaMart - Bangalore</v>
      </c>
      <c r="K436">
        <f t="shared" si="55"/>
        <v>8</v>
      </c>
      <c r="L436" t="str">
        <f t="shared" si="56"/>
        <v>Clo</v>
      </c>
      <c r="M436" s="3" t="str">
        <f t="shared" si="57"/>
        <v>RD143</v>
      </c>
      <c r="N436" s="3" t="str">
        <f t="shared" si="58"/>
        <v>bangalore</v>
      </c>
      <c r="O436" s="3" t="str">
        <f t="shared" si="59"/>
        <v>BANGALORE</v>
      </c>
      <c r="P436" s="3" t="str">
        <f t="shared" si="60"/>
        <v>Bangalore</v>
      </c>
      <c r="Q436" s="3">
        <f t="shared" si="61"/>
        <v>1.4142135623730951</v>
      </c>
    </row>
    <row r="437" spans="1:17">
      <c r="A437" t="s">
        <v>470</v>
      </c>
      <c r="B437" s="1">
        <v>45368</v>
      </c>
      <c r="C437" t="s">
        <v>25</v>
      </c>
      <c r="D437" t="s">
        <v>37</v>
      </c>
      <c r="E437" t="s">
        <v>23</v>
      </c>
      <c r="F437">
        <v>5</v>
      </c>
      <c r="G437">
        <v>1706.41</v>
      </c>
      <c r="H437">
        <v>8532.0500000000011</v>
      </c>
      <c r="I437" t="str">
        <f t="shared" si="62"/>
        <v>Normal Order</v>
      </c>
      <c r="J437" t="str">
        <f t="shared" si="54"/>
        <v>QuickBuy - Hyderabad</v>
      </c>
      <c r="K437">
        <f t="shared" si="55"/>
        <v>8</v>
      </c>
      <c r="L437" t="str">
        <f t="shared" si="56"/>
        <v>Clo</v>
      </c>
      <c r="M437" s="3" t="str">
        <f t="shared" si="57"/>
        <v>RD143</v>
      </c>
      <c r="N437" s="3" t="str">
        <f t="shared" si="58"/>
        <v>hyderabad</v>
      </c>
      <c r="O437" s="3" t="str">
        <f t="shared" si="59"/>
        <v>HYDERABAD</v>
      </c>
      <c r="P437" s="3" t="str">
        <f t="shared" si="60"/>
        <v>Hyderabad</v>
      </c>
      <c r="Q437" s="3">
        <f t="shared" si="61"/>
        <v>2.2360679774997898</v>
      </c>
    </row>
    <row r="438" spans="1:17">
      <c r="A438" t="s">
        <v>471</v>
      </c>
      <c r="B438" s="1">
        <v>45571</v>
      </c>
      <c r="C438" t="s">
        <v>22</v>
      </c>
      <c r="D438" t="s">
        <v>42</v>
      </c>
      <c r="E438" t="s">
        <v>23</v>
      </c>
      <c r="F438">
        <v>11</v>
      </c>
      <c r="G438">
        <v>1370.22</v>
      </c>
      <c r="H438">
        <v>15072.42</v>
      </c>
      <c r="I438" t="str">
        <f t="shared" si="62"/>
        <v>Bulk Order</v>
      </c>
      <c r="J438" t="str">
        <f t="shared" si="54"/>
        <v>CityStore - Pune</v>
      </c>
      <c r="K438">
        <f t="shared" si="55"/>
        <v>8</v>
      </c>
      <c r="L438" t="str">
        <f t="shared" si="56"/>
        <v>Clo</v>
      </c>
      <c r="M438" s="3" t="str">
        <f t="shared" si="57"/>
        <v>RD143</v>
      </c>
      <c r="N438" s="3" t="str">
        <f t="shared" si="58"/>
        <v>pune</v>
      </c>
      <c r="O438" s="3" t="str">
        <f t="shared" si="59"/>
        <v>PUNE</v>
      </c>
      <c r="P438" s="3" t="str">
        <f t="shared" si="60"/>
        <v>Pune</v>
      </c>
      <c r="Q438" s="3">
        <f t="shared" si="61"/>
        <v>3.3166247903553998</v>
      </c>
    </row>
    <row r="439" spans="1:17">
      <c r="A439" t="s">
        <v>472</v>
      </c>
      <c r="B439" s="1">
        <v>45310</v>
      </c>
      <c r="C439" t="s">
        <v>22</v>
      </c>
      <c r="D439" t="s">
        <v>19</v>
      </c>
      <c r="E439" t="s">
        <v>20</v>
      </c>
      <c r="F439">
        <v>16</v>
      </c>
      <c r="G439">
        <v>1104.0999999999999</v>
      </c>
      <c r="H439">
        <v>17665.599999999999</v>
      </c>
      <c r="I439" t="str">
        <f t="shared" si="62"/>
        <v>Bulk Order</v>
      </c>
      <c r="J439" t="str">
        <f t="shared" si="54"/>
        <v>CityStore - Bangalore</v>
      </c>
      <c r="K439">
        <f t="shared" si="55"/>
        <v>11</v>
      </c>
      <c r="L439" t="str">
        <f t="shared" si="56"/>
        <v>Ele</v>
      </c>
      <c r="M439" s="3" t="str">
        <f t="shared" si="57"/>
        <v>RD143</v>
      </c>
      <c r="N439" s="3" t="str">
        <f t="shared" si="58"/>
        <v>bangalore</v>
      </c>
      <c r="O439" s="3" t="str">
        <f t="shared" si="59"/>
        <v>BANGALORE</v>
      </c>
      <c r="P439" s="3" t="str">
        <f t="shared" si="60"/>
        <v>Bangalore</v>
      </c>
      <c r="Q439" s="3">
        <f t="shared" si="61"/>
        <v>4</v>
      </c>
    </row>
    <row r="440" spans="1:17">
      <c r="A440" t="s">
        <v>473</v>
      </c>
      <c r="B440" s="1">
        <v>45481</v>
      </c>
      <c r="C440" t="s">
        <v>18</v>
      </c>
      <c r="D440" t="s">
        <v>26</v>
      </c>
      <c r="E440" t="s">
        <v>44</v>
      </c>
      <c r="F440">
        <v>17</v>
      </c>
      <c r="G440">
        <v>798.5</v>
      </c>
      <c r="H440">
        <v>13574.5</v>
      </c>
      <c r="I440" t="str">
        <f t="shared" si="62"/>
        <v>Bulk Order</v>
      </c>
      <c r="J440" t="str">
        <f t="shared" si="54"/>
        <v>ValueShop - Delhi</v>
      </c>
      <c r="K440">
        <f t="shared" si="55"/>
        <v>9</v>
      </c>
      <c r="L440" t="str">
        <f t="shared" si="56"/>
        <v>Gro</v>
      </c>
      <c r="M440" s="3" t="str">
        <f t="shared" si="57"/>
        <v>RD143</v>
      </c>
      <c r="N440" s="3" t="str">
        <f t="shared" si="58"/>
        <v>delhi</v>
      </c>
      <c r="O440" s="3" t="str">
        <f t="shared" si="59"/>
        <v>DELHI</v>
      </c>
      <c r="P440" s="3" t="str">
        <f t="shared" si="60"/>
        <v>Delhi</v>
      </c>
      <c r="Q440" s="3">
        <f t="shared" si="61"/>
        <v>4.1231056256176606</v>
      </c>
    </row>
    <row r="441" spans="1:17">
      <c r="A441" t="s">
        <v>474</v>
      </c>
      <c r="B441" s="1">
        <v>45590</v>
      </c>
      <c r="C441" t="s">
        <v>22</v>
      </c>
      <c r="D441" t="s">
        <v>33</v>
      </c>
      <c r="E441" t="s">
        <v>20</v>
      </c>
      <c r="F441">
        <v>15</v>
      </c>
      <c r="G441">
        <v>1492.5</v>
      </c>
      <c r="H441">
        <v>22387.5</v>
      </c>
      <c r="I441" t="str">
        <f t="shared" si="62"/>
        <v>Bulk Order</v>
      </c>
      <c r="J441" t="str">
        <f t="shared" si="54"/>
        <v>CityStore - Chennai</v>
      </c>
      <c r="K441">
        <f t="shared" si="55"/>
        <v>11</v>
      </c>
      <c r="L441" t="str">
        <f t="shared" si="56"/>
        <v>Ele</v>
      </c>
      <c r="M441" s="3" t="str">
        <f t="shared" si="57"/>
        <v>RD143</v>
      </c>
      <c r="N441" s="3" t="str">
        <f t="shared" si="58"/>
        <v>chennai</v>
      </c>
      <c r="O441" s="3" t="str">
        <f t="shared" si="59"/>
        <v>CHENNAI</v>
      </c>
      <c r="P441" s="3" t="str">
        <f t="shared" si="60"/>
        <v>Chennai</v>
      </c>
      <c r="Q441" s="3">
        <f t="shared" si="61"/>
        <v>3.872983346207417</v>
      </c>
    </row>
    <row r="442" spans="1:17">
      <c r="A442" t="s">
        <v>475</v>
      </c>
      <c r="B442" s="1">
        <v>45574</v>
      </c>
      <c r="C442" t="s">
        <v>32</v>
      </c>
      <c r="D442" t="s">
        <v>19</v>
      </c>
      <c r="E442" t="s">
        <v>34</v>
      </c>
      <c r="F442">
        <v>5</v>
      </c>
      <c r="G442">
        <v>1591.47</v>
      </c>
      <c r="H442">
        <v>7957.35</v>
      </c>
      <c r="I442" t="str">
        <f t="shared" si="62"/>
        <v>Normal Order</v>
      </c>
      <c r="J442" t="str">
        <f t="shared" si="54"/>
        <v>MegaMart - Bangalore</v>
      </c>
      <c r="K442">
        <f t="shared" si="55"/>
        <v>4</v>
      </c>
      <c r="L442" t="str">
        <f t="shared" si="56"/>
        <v>Toy</v>
      </c>
      <c r="M442" s="3" t="str">
        <f t="shared" si="57"/>
        <v>RD144</v>
      </c>
      <c r="N442" s="3" t="str">
        <f t="shared" si="58"/>
        <v>bangalore</v>
      </c>
      <c r="O442" s="3" t="str">
        <f t="shared" si="59"/>
        <v>BANGALORE</v>
      </c>
      <c r="P442" s="3" t="str">
        <f t="shared" si="60"/>
        <v>Bangalore</v>
      </c>
      <c r="Q442" s="3">
        <f t="shared" si="61"/>
        <v>2.2360679774997898</v>
      </c>
    </row>
    <row r="443" spans="1:17">
      <c r="A443" t="s">
        <v>476</v>
      </c>
      <c r="B443" s="1">
        <v>45367</v>
      </c>
      <c r="C443" t="s">
        <v>32</v>
      </c>
      <c r="D443" t="s">
        <v>50</v>
      </c>
      <c r="E443" t="s">
        <v>34</v>
      </c>
      <c r="F443">
        <v>20</v>
      </c>
      <c r="G443">
        <v>1394.16</v>
      </c>
      <c r="H443">
        <v>27883.200000000001</v>
      </c>
      <c r="I443" t="str">
        <f t="shared" si="62"/>
        <v>Bulk Order</v>
      </c>
      <c r="J443" t="str">
        <f t="shared" si="54"/>
        <v>MegaMart - Mumbai</v>
      </c>
      <c r="K443">
        <f t="shared" si="55"/>
        <v>4</v>
      </c>
      <c r="L443" t="str">
        <f t="shared" si="56"/>
        <v>Toy</v>
      </c>
      <c r="M443" s="3" t="str">
        <f t="shared" si="57"/>
        <v>RD144</v>
      </c>
      <c r="N443" s="3" t="str">
        <f t="shared" si="58"/>
        <v>mumbai</v>
      </c>
      <c r="O443" s="3" t="str">
        <f t="shared" si="59"/>
        <v>MUMBAI</v>
      </c>
      <c r="P443" s="3" t="str">
        <f t="shared" si="60"/>
        <v>Mumbai</v>
      </c>
      <c r="Q443" s="3">
        <f t="shared" si="61"/>
        <v>4.4721359549995796</v>
      </c>
    </row>
    <row r="444" spans="1:17">
      <c r="A444" t="s">
        <v>477</v>
      </c>
      <c r="B444" s="1">
        <v>45512</v>
      </c>
      <c r="C444" t="s">
        <v>22</v>
      </c>
      <c r="D444" t="s">
        <v>26</v>
      </c>
      <c r="E444" t="s">
        <v>27</v>
      </c>
      <c r="F444">
        <v>17</v>
      </c>
      <c r="G444">
        <v>202.93</v>
      </c>
      <c r="H444">
        <v>3449.81</v>
      </c>
      <c r="I444" t="str">
        <f t="shared" si="62"/>
        <v>Bulk Order</v>
      </c>
      <c r="J444" t="str">
        <f t="shared" si="54"/>
        <v>CityStore - Delhi</v>
      </c>
      <c r="K444">
        <f t="shared" si="55"/>
        <v>5</v>
      </c>
      <c r="L444" t="str">
        <f t="shared" si="56"/>
        <v>Boo</v>
      </c>
      <c r="M444" s="3" t="str">
        <f t="shared" si="57"/>
        <v>RD144</v>
      </c>
      <c r="N444" s="3" t="str">
        <f t="shared" si="58"/>
        <v>delhi</v>
      </c>
      <c r="O444" s="3" t="str">
        <f t="shared" si="59"/>
        <v>DELHI</v>
      </c>
      <c r="P444" s="3" t="str">
        <f t="shared" si="60"/>
        <v>Delhi</v>
      </c>
      <c r="Q444" s="3">
        <f t="shared" si="61"/>
        <v>4.1231056256176606</v>
      </c>
    </row>
    <row r="445" spans="1:17">
      <c r="A445" t="s">
        <v>478</v>
      </c>
      <c r="B445" s="1">
        <v>45357</v>
      </c>
      <c r="C445" t="s">
        <v>18</v>
      </c>
      <c r="D445" t="s">
        <v>29</v>
      </c>
      <c r="E445" t="s">
        <v>34</v>
      </c>
      <c r="F445">
        <v>5</v>
      </c>
      <c r="G445">
        <v>1503.64</v>
      </c>
      <c r="H445">
        <v>7518.2000000000007</v>
      </c>
      <c r="I445" t="str">
        <f t="shared" si="62"/>
        <v>Normal Order</v>
      </c>
      <c r="J445" t="str">
        <f t="shared" si="54"/>
        <v>ValueShop - Kolkata</v>
      </c>
      <c r="K445">
        <f t="shared" si="55"/>
        <v>4</v>
      </c>
      <c r="L445" t="str">
        <f t="shared" si="56"/>
        <v>Toy</v>
      </c>
      <c r="M445" s="3" t="str">
        <f t="shared" si="57"/>
        <v>RD144</v>
      </c>
      <c r="N445" s="3" t="str">
        <f t="shared" si="58"/>
        <v>kolkata</v>
      </c>
      <c r="O445" s="3" t="str">
        <f t="shared" si="59"/>
        <v>KOLKATA</v>
      </c>
      <c r="P445" s="3" t="str">
        <f t="shared" si="60"/>
        <v>Kolkata</v>
      </c>
      <c r="Q445" s="3">
        <f t="shared" si="61"/>
        <v>2.2360679774997898</v>
      </c>
    </row>
    <row r="446" spans="1:17">
      <c r="A446" t="s">
        <v>479</v>
      </c>
      <c r="B446" s="1">
        <v>45313</v>
      </c>
      <c r="C446" t="s">
        <v>25</v>
      </c>
      <c r="D446" t="s">
        <v>29</v>
      </c>
      <c r="E446" t="s">
        <v>20</v>
      </c>
      <c r="F446">
        <v>11</v>
      </c>
      <c r="G446">
        <v>724.43</v>
      </c>
      <c r="H446">
        <v>7968.73</v>
      </c>
      <c r="I446" t="str">
        <f t="shared" si="62"/>
        <v>Bulk Order</v>
      </c>
      <c r="J446" t="str">
        <f t="shared" si="54"/>
        <v>QuickBuy - Kolkata</v>
      </c>
      <c r="K446">
        <f t="shared" si="55"/>
        <v>11</v>
      </c>
      <c r="L446" t="str">
        <f t="shared" si="56"/>
        <v>Ele</v>
      </c>
      <c r="M446" s="3" t="str">
        <f t="shared" si="57"/>
        <v>RD144</v>
      </c>
      <c r="N446" s="3" t="str">
        <f t="shared" si="58"/>
        <v>kolkata</v>
      </c>
      <c r="O446" s="3" t="str">
        <f t="shared" si="59"/>
        <v>KOLKATA</v>
      </c>
      <c r="P446" s="3" t="str">
        <f t="shared" si="60"/>
        <v>Kolkata</v>
      </c>
      <c r="Q446" s="3">
        <f t="shared" si="61"/>
        <v>3.3166247903553998</v>
      </c>
    </row>
    <row r="447" spans="1:17">
      <c r="A447" t="s">
        <v>480</v>
      </c>
      <c r="B447" s="1">
        <v>45449</v>
      </c>
      <c r="C447" t="s">
        <v>25</v>
      </c>
      <c r="D447" t="s">
        <v>33</v>
      </c>
      <c r="E447" t="s">
        <v>27</v>
      </c>
      <c r="F447">
        <v>20</v>
      </c>
      <c r="G447">
        <v>240.49</v>
      </c>
      <c r="H447">
        <v>4809.8</v>
      </c>
      <c r="I447" t="str">
        <f t="shared" si="62"/>
        <v>Bulk Order</v>
      </c>
      <c r="J447" t="str">
        <f t="shared" si="54"/>
        <v>QuickBuy - Chennai</v>
      </c>
      <c r="K447">
        <f t="shared" si="55"/>
        <v>5</v>
      </c>
      <c r="L447" t="str">
        <f t="shared" si="56"/>
        <v>Boo</v>
      </c>
      <c r="M447" s="3" t="str">
        <f t="shared" si="57"/>
        <v>RD144</v>
      </c>
      <c r="N447" s="3" t="str">
        <f t="shared" si="58"/>
        <v>chennai</v>
      </c>
      <c r="O447" s="3" t="str">
        <f t="shared" si="59"/>
        <v>CHENNAI</v>
      </c>
      <c r="P447" s="3" t="str">
        <f t="shared" si="60"/>
        <v>Chennai</v>
      </c>
      <c r="Q447" s="3">
        <f t="shared" si="61"/>
        <v>4.4721359549995796</v>
      </c>
    </row>
    <row r="448" spans="1:17">
      <c r="A448" t="s">
        <v>481</v>
      </c>
      <c r="B448" s="1">
        <v>45478</v>
      </c>
      <c r="C448" t="s">
        <v>18</v>
      </c>
      <c r="D448" t="s">
        <v>26</v>
      </c>
      <c r="E448" t="s">
        <v>44</v>
      </c>
      <c r="F448">
        <v>11</v>
      </c>
      <c r="G448">
        <v>502.68</v>
      </c>
      <c r="H448">
        <v>5529.48</v>
      </c>
      <c r="I448" t="str">
        <f t="shared" si="62"/>
        <v>Bulk Order</v>
      </c>
      <c r="J448" t="str">
        <f t="shared" si="54"/>
        <v>ValueShop - Delhi</v>
      </c>
      <c r="K448">
        <f t="shared" si="55"/>
        <v>9</v>
      </c>
      <c r="L448" t="str">
        <f t="shared" si="56"/>
        <v>Gro</v>
      </c>
      <c r="M448" s="3" t="str">
        <f t="shared" si="57"/>
        <v>RD144</v>
      </c>
      <c r="N448" s="3" t="str">
        <f t="shared" si="58"/>
        <v>delhi</v>
      </c>
      <c r="O448" s="3" t="str">
        <f t="shared" si="59"/>
        <v>DELHI</v>
      </c>
      <c r="P448" s="3" t="str">
        <f t="shared" si="60"/>
        <v>Delhi</v>
      </c>
      <c r="Q448" s="3">
        <f t="shared" si="61"/>
        <v>3.3166247903553998</v>
      </c>
    </row>
    <row r="449" spans="1:17">
      <c r="A449" t="s">
        <v>482</v>
      </c>
      <c r="B449" s="1">
        <v>45312</v>
      </c>
      <c r="C449" t="s">
        <v>39</v>
      </c>
      <c r="D449" t="s">
        <v>42</v>
      </c>
      <c r="E449" t="s">
        <v>34</v>
      </c>
      <c r="F449">
        <v>6</v>
      </c>
      <c r="G449">
        <v>198.24</v>
      </c>
      <c r="H449">
        <v>1189.44</v>
      </c>
      <c r="I449" t="str">
        <f t="shared" si="62"/>
        <v>Normal Order</v>
      </c>
      <c r="J449" t="str">
        <f t="shared" si="54"/>
        <v>Trendz - Pune</v>
      </c>
      <c r="K449">
        <f t="shared" si="55"/>
        <v>4</v>
      </c>
      <c r="L449" t="str">
        <f t="shared" si="56"/>
        <v>Toy</v>
      </c>
      <c r="M449" s="3" t="str">
        <f t="shared" si="57"/>
        <v>RD144</v>
      </c>
      <c r="N449" s="3" t="str">
        <f t="shared" si="58"/>
        <v>pune</v>
      </c>
      <c r="O449" s="3" t="str">
        <f t="shared" si="59"/>
        <v>PUNE</v>
      </c>
      <c r="P449" s="3" t="str">
        <f t="shared" si="60"/>
        <v>Pune</v>
      </c>
      <c r="Q449" s="3">
        <f t="shared" si="61"/>
        <v>2.4494897427831779</v>
      </c>
    </row>
    <row r="450" spans="1:17">
      <c r="A450" t="s">
        <v>483</v>
      </c>
      <c r="B450" s="1">
        <v>45475</v>
      </c>
      <c r="C450" t="s">
        <v>32</v>
      </c>
      <c r="D450" t="s">
        <v>50</v>
      </c>
      <c r="E450" t="s">
        <v>23</v>
      </c>
      <c r="F450">
        <v>13</v>
      </c>
      <c r="G450">
        <v>1230.08</v>
      </c>
      <c r="H450">
        <v>15991.04</v>
      </c>
      <c r="I450" t="str">
        <f t="shared" si="62"/>
        <v>Bulk Order</v>
      </c>
      <c r="J450" t="str">
        <f t="shared" ref="J450:J502" si="63">_xlfn.CONCAT(C450, " - ", D450)</f>
        <v>MegaMart - Mumbai</v>
      </c>
      <c r="K450">
        <f t="shared" ref="K450:K502" si="64">LEN(E450)</f>
        <v>8</v>
      </c>
      <c r="L450" t="str">
        <f t="shared" ref="L450:L502" si="65">LEFT(E450, 3)</f>
        <v>Clo</v>
      </c>
      <c r="M450" s="3" t="str">
        <f t="shared" ref="M450:M502" si="66">MID(A450, 2, 5)</f>
        <v>RD144</v>
      </c>
      <c r="N450" s="3" t="str">
        <f t="shared" ref="N450:N502" si="67">LOWER(D450)</f>
        <v>mumbai</v>
      </c>
      <c r="O450" s="3" t="str">
        <f t="shared" ref="O450:O502" si="68">UPPER(D450)</f>
        <v>MUMBAI</v>
      </c>
      <c r="P450" s="3" t="str">
        <f t="shared" ref="P450:P502" si="69">PROPER(D450)</f>
        <v>Mumbai</v>
      </c>
      <c r="Q450" s="3">
        <f t="shared" ref="Q450:Q502" si="70">SQRT(F450)</f>
        <v>3.6055512754639891</v>
      </c>
    </row>
    <row r="451" spans="1:17">
      <c r="A451" t="s">
        <v>484</v>
      </c>
      <c r="B451" s="1">
        <v>45399</v>
      </c>
      <c r="C451" t="s">
        <v>39</v>
      </c>
      <c r="D451" t="s">
        <v>42</v>
      </c>
      <c r="E451" t="s">
        <v>34</v>
      </c>
      <c r="F451">
        <v>20</v>
      </c>
      <c r="G451">
        <v>1247.04</v>
      </c>
      <c r="H451">
        <v>24940.799999999999</v>
      </c>
      <c r="I451" t="str">
        <f t="shared" ref="I451:I501" si="71">IF(F451&gt;10,"Bulk Order","Normal Order")</f>
        <v>Bulk Order</v>
      </c>
      <c r="J451" t="str">
        <f t="shared" si="63"/>
        <v>Trendz - Pune</v>
      </c>
      <c r="K451">
        <f t="shared" si="64"/>
        <v>4</v>
      </c>
      <c r="L451" t="str">
        <f t="shared" si="65"/>
        <v>Toy</v>
      </c>
      <c r="M451" s="3" t="str">
        <f t="shared" si="66"/>
        <v>RD144</v>
      </c>
      <c r="N451" s="3" t="str">
        <f t="shared" si="67"/>
        <v>pune</v>
      </c>
      <c r="O451" s="3" t="str">
        <f t="shared" si="68"/>
        <v>PUNE</v>
      </c>
      <c r="P451" s="3" t="str">
        <f t="shared" si="69"/>
        <v>Pune</v>
      </c>
      <c r="Q451" s="3">
        <f t="shared" si="70"/>
        <v>4.4721359549995796</v>
      </c>
    </row>
    <row r="452" spans="1:17">
      <c r="A452" t="s">
        <v>485</v>
      </c>
      <c r="B452" s="1">
        <v>45641</v>
      </c>
      <c r="C452" t="s">
        <v>18</v>
      </c>
      <c r="D452" t="s">
        <v>42</v>
      </c>
      <c r="E452" t="s">
        <v>30</v>
      </c>
      <c r="F452">
        <v>10</v>
      </c>
      <c r="G452">
        <v>1211.44</v>
      </c>
      <c r="H452">
        <v>12114.4</v>
      </c>
      <c r="I452" t="str">
        <f t="shared" si="71"/>
        <v>Normal Order</v>
      </c>
      <c r="J452" t="str">
        <f t="shared" si="63"/>
        <v>ValueShop - Pune</v>
      </c>
      <c r="K452">
        <f t="shared" si="64"/>
        <v>14</v>
      </c>
      <c r="L452" t="str">
        <f t="shared" si="65"/>
        <v>Hom</v>
      </c>
      <c r="M452" s="3" t="str">
        <f t="shared" si="66"/>
        <v>RD145</v>
      </c>
      <c r="N452" s="3" t="str">
        <f t="shared" si="67"/>
        <v>pune</v>
      </c>
      <c r="O452" s="3" t="str">
        <f t="shared" si="68"/>
        <v>PUNE</v>
      </c>
      <c r="P452" s="3" t="str">
        <f t="shared" si="69"/>
        <v>Pune</v>
      </c>
      <c r="Q452" s="3">
        <f t="shared" si="70"/>
        <v>3.1622776601683795</v>
      </c>
    </row>
    <row r="453" spans="1:17">
      <c r="A453" t="s">
        <v>486</v>
      </c>
      <c r="B453" s="1">
        <v>45419</v>
      </c>
      <c r="C453" t="s">
        <v>39</v>
      </c>
      <c r="D453" t="s">
        <v>37</v>
      </c>
      <c r="E453" t="s">
        <v>23</v>
      </c>
      <c r="F453">
        <v>19</v>
      </c>
      <c r="G453">
        <v>1939.4</v>
      </c>
      <c r="H453">
        <v>36848.6</v>
      </c>
      <c r="I453" t="str">
        <f t="shared" si="71"/>
        <v>Bulk Order</v>
      </c>
      <c r="J453" t="str">
        <f t="shared" si="63"/>
        <v>Trendz - Hyderabad</v>
      </c>
      <c r="K453">
        <f t="shared" si="64"/>
        <v>8</v>
      </c>
      <c r="L453" t="str">
        <f t="shared" si="65"/>
        <v>Clo</v>
      </c>
      <c r="M453" s="3" t="str">
        <f t="shared" si="66"/>
        <v>RD145</v>
      </c>
      <c r="N453" s="3" t="str">
        <f t="shared" si="67"/>
        <v>hyderabad</v>
      </c>
      <c r="O453" s="3" t="str">
        <f t="shared" si="68"/>
        <v>HYDERABAD</v>
      </c>
      <c r="P453" s="3" t="str">
        <f t="shared" si="69"/>
        <v>Hyderabad</v>
      </c>
      <c r="Q453" s="3">
        <f t="shared" si="70"/>
        <v>4.358898943540674</v>
      </c>
    </row>
    <row r="454" spans="1:17">
      <c r="A454" t="s">
        <v>487</v>
      </c>
      <c r="B454" s="1">
        <v>45633</v>
      </c>
      <c r="C454" t="s">
        <v>18</v>
      </c>
      <c r="D454" t="s">
        <v>26</v>
      </c>
      <c r="E454" t="s">
        <v>23</v>
      </c>
      <c r="F454">
        <v>11</v>
      </c>
      <c r="G454">
        <v>686.43</v>
      </c>
      <c r="H454">
        <v>7550.73</v>
      </c>
      <c r="I454" t="str">
        <f t="shared" si="71"/>
        <v>Bulk Order</v>
      </c>
      <c r="J454" t="str">
        <f t="shared" si="63"/>
        <v>ValueShop - Delhi</v>
      </c>
      <c r="K454">
        <f t="shared" si="64"/>
        <v>8</v>
      </c>
      <c r="L454" t="str">
        <f t="shared" si="65"/>
        <v>Clo</v>
      </c>
      <c r="M454" s="3" t="str">
        <f t="shared" si="66"/>
        <v>RD145</v>
      </c>
      <c r="N454" s="3" t="str">
        <f t="shared" si="67"/>
        <v>delhi</v>
      </c>
      <c r="O454" s="3" t="str">
        <f t="shared" si="68"/>
        <v>DELHI</v>
      </c>
      <c r="P454" s="3" t="str">
        <f t="shared" si="69"/>
        <v>Delhi</v>
      </c>
      <c r="Q454" s="3">
        <f t="shared" si="70"/>
        <v>3.3166247903553998</v>
      </c>
    </row>
    <row r="455" spans="1:17">
      <c r="A455" t="s">
        <v>488</v>
      </c>
      <c r="B455" s="1">
        <v>45344</v>
      </c>
      <c r="C455" t="s">
        <v>25</v>
      </c>
      <c r="D455" t="s">
        <v>26</v>
      </c>
      <c r="E455" t="s">
        <v>23</v>
      </c>
      <c r="F455">
        <v>17</v>
      </c>
      <c r="G455">
        <v>1286.54</v>
      </c>
      <c r="H455">
        <v>21871.18</v>
      </c>
      <c r="I455" t="str">
        <f t="shared" si="71"/>
        <v>Bulk Order</v>
      </c>
      <c r="J455" t="str">
        <f t="shared" si="63"/>
        <v>QuickBuy - Delhi</v>
      </c>
      <c r="K455">
        <f t="shared" si="64"/>
        <v>8</v>
      </c>
      <c r="L455" t="str">
        <f t="shared" si="65"/>
        <v>Clo</v>
      </c>
      <c r="M455" s="3" t="str">
        <f t="shared" si="66"/>
        <v>RD145</v>
      </c>
      <c r="N455" s="3" t="str">
        <f t="shared" si="67"/>
        <v>delhi</v>
      </c>
      <c r="O455" s="3" t="str">
        <f t="shared" si="68"/>
        <v>DELHI</v>
      </c>
      <c r="P455" s="3" t="str">
        <f t="shared" si="69"/>
        <v>Delhi</v>
      </c>
      <c r="Q455" s="3">
        <f t="shared" si="70"/>
        <v>4.1231056256176606</v>
      </c>
    </row>
    <row r="456" spans="1:17">
      <c r="A456" t="s">
        <v>489</v>
      </c>
      <c r="B456" s="1">
        <v>45473</v>
      </c>
      <c r="C456" t="s">
        <v>25</v>
      </c>
      <c r="D456" t="s">
        <v>29</v>
      </c>
      <c r="E456" t="s">
        <v>27</v>
      </c>
      <c r="F456">
        <v>17</v>
      </c>
      <c r="G456">
        <v>1577.92</v>
      </c>
      <c r="H456">
        <v>26824.639999999999</v>
      </c>
      <c r="I456" t="str">
        <f t="shared" si="71"/>
        <v>Bulk Order</v>
      </c>
      <c r="J456" t="str">
        <f t="shared" si="63"/>
        <v>QuickBuy - Kolkata</v>
      </c>
      <c r="K456">
        <f t="shared" si="64"/>
        <v>5</v>
      </c>
      <c r="L456" t="str">
        <f t="shared" si="65"/>
        <v>Boo</v>
      </c>
      <c r="M456" s="3" t="str">
        <f t="shared" si="66"/>
        <v>RD145</v>
      </c>
      <c r="N456" s="3" t="str">
        <f t="shared" si="67"/>
        <v>kolkata</v>
      </c>
      <c r="O456" s="3" t="str">
        <f t="shared" si="68"/>
        <v>KOLKATA</v>
      </c>
      <c r="P456" s="3" t="str">
        <f t="shared" si="69"/>
        <v>Kolkata</v>
      </c>
      <c r="Q456" s="3">
        <f t="shared" si="70"/>
        <v>4.1231056256176606</v>
      </c>
    </row>
    <row r="457" spans="1:17">
      <c r="A457" t="s">
        <v>490</v>
      </c>
      <c r="B457" s="1">
        <v>45578</v>
      </c>
      <c r="C457" t="s">
        <v>39</v>
      </c>
      <c r="D457" t="s">
        <v>19</v>
      </c>
      <c r="E457" t="s">
        <v>34</v>
      </c>
      <c r="F457">
        <v>18</v>
      </c>
      <c r="G457">
        <v>928.57</v>
      </c>
      <c r="H457">
        <v>16714.259999999998</v>
      </c>
      <c r="I457" t="str">
        <f t="shared" si="71"/>
        <v>Bulk Order</v>
      </c>
      <c r="J457" t="str">
        <f t="shared" si="63"/>
        <v>Trendz - Bangalore</v>
      </c>
      <c r="K457">
        <f t="shared" si="64"/>
        <v>4</v>
      </c>
      <c r="L457" t="str">
        <f t="shared" si="65"/>
        <v>Toy</v>
      </c>
      <c r="M457" s="3" t="str">
        <f t="shared" si="66"/>
        <v>RD145</v>
      </c>
      <c r="N457" s="3" t="str">
        <f t="shared" si="67"/>
        <v>bangalore</v>
      </c>
      <c r="O457" s="3" t="str">
        <f t="shared" si="68"/>
        <v>BANGALORE</v>
      </c>
      <c r="P457" s="3" t="str">
        <f t="shared" si="69"/>
        <v>Bangalore</v>
      </c>
      <c r="Q457" s="3">
        <f t="shared" si="70"/>
        <v>4.2426406871192848</v>
      </c>
    </row>
    <row r="458" spans="1:17">
      <c r="A458" t="s">
        <v>491</v>
      </c>
      <c r="B458" s="1">
        <v>45500</v>
      </c>
      <c r="C458" t="s">
        <v>39</v>
      </c>
      <c r="D458" t="s">
        <v>50</v>
      </c>
      <c r="E458" t="s">
        <v>23</v>
      </c>
      <c r="F458">
        <v>16</v>
      </c>
      <c r="G458">
        <v>494.87</v>
      </c>
      <c r="H458">
        <v>7917.92</v>
      </c>
      <c r="I458" t="str">
        <f t="shared" si="71"/>
        <v>Bulk Order</v>
      </c>
      <c r="J458" t="str">
        <f t="shared" si="63"/>
        <v>Trendz - Mumbai</v>
      </c>
      <c r="K458">
        <f t="shared" si="64"/>
        <v>8</v>
      </c>
      <c r="L458" t="str">
        <f t="shared" si="65"/>
        <v>Clo</v>
      </c>
      <c r="M458" s="3" t="str">
        <f t="shared" si="66"/>
        <v>RD145</v>
      </c>
      <c r="N458" s="3" t="str">
        <f t="shared" si="67"/>
        <v>mumbai</v>
      </c>
      <c r="O458" s="3" t="str">
        <f t="shared" si="68"/>
        <v>MUMBAI</v>
      </c>
      <c r="P458" s="3" t="str">
        <f t="shared" si="69"/>
        <v>Mumbai</v>
      </c>
      <c r="Q458" s="3">
        <f t="shared" si="70"/>
        <v>4</v>
      </c>
    </row>
    <row r="459" spans="1:17">
      <c r="A459" t="s">
        <v>492</v>
      </c>
      <c r="B459" s="1">
        <v>45609</v>
      </c>
      <c r="C459" t="s">
        <v>32</v>
      </c>
      <c r="D459" t="s">
        <v>50</v>
      </c>
      <c r="E459" t="s">
        <v>27</v>
      </c>
      <c r="F459">
        <v>19</v>
      </c>
      <c r="G459">
        <v>1128.42</v>
      </c>
      <c r="H459">
        <v>21439.98</v>
      </c>
      <c r="I459" t="str">
        <f t="shared" si="71"/>
        <v>Bulk Order</v>
      </c>
      <c r="J459" t="str">
        <f t="shared" si="63"/>
        <v>MegaMart - Mumbai</v>
      </c>
      <c r="K459">
        <f t="shared" si="64"/>
        <v>5</v>
      </c>
      <c r="L459" t="str">
        <f t="shared" si="65"/>
        <v>Boo</v>
      </c>
      <c r="M459" s="3" t="str">
        <f t="shared" si="66"/>
        <v>RD145</v>
      </c>
      <c r="N459" s="3" t="str">
        <f t="shared" si="67"/>
        <v>mumbai</v>
      </c>
      <c r="O459" s="3" t="str">
        <f t="shared" si="68"/>
        <v>MUMBAI</v>
      </c>
      <c r="P459" s="3" t="str">
        <f t="shared" si="69"/>
        <v>Mumbai</v>
      </c>
      <c r="Q459" s="3">
        <f t="shared" si="70"/>
        <v>4.358898943540674</v>
      </c>
    </row>
    <row r="460" spans="1:17">
      <c r="A460" t="s">
        <v>493</v>
      </c>
      <c r="B460" s="1">
        <v>45371</v>
      </c>
      <c r="C460" t="s">
        <v>25</v>
      </c>
      <c r="D460" t="s">
        <v>29</v>
      </c>
      <c r="E460" t="s">
        <v>30</v>
      </c>
      <c r="F460">
        <v>10</v>
      </c>
      <c r="G460">
        <v>782.08</v>
      </c>
      <c r="H460">
        <v>7820.8</v>
      </c>
      <c r="I460" t="str">
        <f t="shared" si="71"/>
        <v>Normal Order</v>
      </c>
      <c r="J460" t="str">
        <f t="shared" si="63"/>
        <v>QuickBuy - Kolkata</v>
      </c>
      <c r="K460">
        <f t="shared" si="64"/>
        <v>14</v>
      </c>
      <c r="L460" t="str">
        <f t="shared" si="65"/>
        <v>Hom</v>
      </c>
      <c r="M460" s="3" t="str">
        <f t="shared" si="66"/>
        <v>RD145</v>
      </c>
      <c r="N460" s="3" t="str">
        <f t="shared" si="67"/>
        <v>kolkata</v>
      </c>
      <c r="O460" s="3" t="str">
        <f t="shared" si="68"/>
        <v>KOLKATA</v>
      </c>
      <c r="P460" s="3" t="str">
        <f t="shared" si="69"/>
        <v>Kolkata</v>
      </c>
      <c r="Q460" s="3">
        <f t="shared" si="70"/>
        <v>3.1622776601683795</v>
      </c>
    </row>
    <row r="461" spans="1:17">
      <c r="A461" t="s">
        <v>494</v>
      </c>
      <c r="B461" s="1">
        <v>45413</v>
      </c>
      <c r="C461" t="s">
        <v>32</v>
      </c>
      <c r="D461" t="s">
        <v>37</v>
      </c>
      <c r="E461" t="s">
        <v>20</v>
      </c>
      <c r="F461">
        <v>16</v>
      </c>
      <c r="G461">
        <v>412.19</v>
      </c>
      <c r="H461">
        <v>6595.04</v>
      </c>
      <c r="I461" t="str">
        <f t="shared" si="71"/>
        <v>Bulk Order</v>
      </c>
      <c r="J461" t="str">
        <f t="shared" si="63"/>
        <v>MegaMart - Hyderabad</v>
      </c>
      <c r="K461">
        <f t="shared" si="64"/>
        <v>11</v>
      </c>
      <c r="L461" t="str">
        <f t="shared" si="65"/>
        <v>Ele</v>
      </c>
      <c r="M461" s="3" t="str">
        <f t="shared" si="66"/>
        <v>RD145</v>
      </c>
      <c r="N461" s="3" t="str">
        <f t="shared" si="67"/>
        <v>hyderabad</v>
      </c>
      <c r="O461" s="3" t="str">
        <f t="shared" si="68"/>
        <v>HYDERABAD</v>
      </c>
      <c r="P461" s="3" t="str">
        <f t="shared" si="69"/>
        <v>Hyderabad</v>
      </c>
      <c r="Q461" s="3">
        <f t="shared" si="70"/>
        <v>4</v>
      </c>
    </row>
    <row r="462" spans="1:17">
      <c r="A462" t="s">
        <v>495</v>
      </c>
      <c r="B462" s="1">
        <v>45375</v>
      </c>
      <c r="C462" t="s">
        <v>39</v>
      </c>
      <c r="D462" t="s">
        <v>50</v>
      </c>
      <c r="E462" t="s">
        <v>30</v>
      </c>
      <c r="F462">
        <v>1</v>
      </c>
      <c r="G462">
        <v>1192.46</v>
      </c>
      <c r="H462">
        <v>1192.46</v>
      </c>
      <c r="I462" t="str">
        <f t="shared" si="71"/>
        <v>Normal Order</v>
      </c>
      <c r="J462" t="str">
        <f t="shared" si="63"/>
        <v>Trendz - Mumbai</v>
      </c>
      <c r="K462">
        <f t="shared" si="64"/>
        <v>14</v>
      </c>
      <c r="L462" t="str">
        <f t="shared" si="65"/>
        <v>Hom</v>
      </c>
      <c r="M462" s="3" t="str">
        <f t="shared" si="66"/>
        <v>RD146</v>
      </c>
      <c r="N462" s="3" t="str">
        <f t="shared" si="67"/>
        <v>mumbai</v>
      </c>
      <c r="O462" s="3" t="str">
        <f t="shared" si="68"/>
        <v>MUMBAI</v>
      </c>
      <c r="P462" s="3" t="str">
        <f t="shared" si="69"/>
        <v>Mumbai</v>
      </c>
      <c r="Q462" s="3">
        <f t="shared" si="70"/>
        <v>1</v>
      </c>
    </row>
    <row r="463" spans="1:17">
      <c r="A463" t="s">
        <v>496</v>
      </c>
      <c r="B463" s="1">
        <v>45382</v>
      </c>
      <c r="C463" t="s">
        <v>18</v>
      </c>
      <c r="D463" t="s">
        <v>26</v>
      </c>
      <c r="E463" t="s">
        <v>44</v>
      </c>
      <c r="F463">
        <v>12</v>
      </c>
      <c r="G463">
        <v>791.14</v>
      </c>
      <c r="H463">
        <v>9493.68</v>
      </c>
      <c r="I463" t="str">
        <f t="shared" si="71"/>
        <v>Bulk Order</v>
      </c>
      <c r="J463" t="str">
        <f t="shared" si="63"/>
        <v>ValueShop - Delhi</v>
      </c>
      <c r="K463">
        <f t="shared" si="64"/>
        <v>9</v>
      </c>
      <c r="L463" t="str">
        <f t="shared" si="65"/>
        <v>Gro</v>
      </c>
      <c r="M463" s="3" t="str">
        <f t="shared" si="66"/>
        <v>RD146</v>
      </c>
      <c r="N463" s="3" t="str">
        <f t="shared" si="67"/>
        <v>delhi</v>
      </c>
      <c r="O463" s="3" t="str">
        <f t="shared" si="68"/>
        <v>DELHI</v>
      </c>
      <c r="P463" s="3" t="str">
        <f t="shared" si="69"/>
        <v>Delhi</v>
      </c>
      <c r="Q463" s="3">
        <f t="shared" si="70"/>
        <v>3.4641016151377544</v>
      </c>
    </row>
    <row r="464" spans="1:17">
      <c r="A464" t="s">
        <v>497</v>
      </c>
      <c r="B464" s="1">
        <v>45503</v>
      </c>
      <c r="C464" t="s">
        <v>25</v>
      </c>
      <c r="D464" t="s">
        <v>29</v>
      </c>
      <c r="E464" t="s">
        <v>27</v>
      </c>
      <c r="F464">
        <v>11</v>
      </c>
      <c r="G464">
        <v>1555.73</v>
      </c>
      <c r="H464">
        <v>17113.03</v>
      </c>
      <c r="I464" t="str">
        <f t="shared" si="71"/>
        <v>Bulk Order</v>
      </c>
      <c r="J464" t="str">
        <f t="shared" si="63"/>
        <v>QuickBuy - Kolkata</v>
      </c>
      <c r="K464">
        <f t="shared" si="64"/>
        <v>5</v>
      </c>
      <c r="L464" t="str">
        <f t="shared" si="65"/>
        <v>Boo</v>
      </c>
      <c r="M464" s="3" t="str">
        <f t="shared" si="66"/>
        <v>RD146</v>
      </c>
      <c r="N464" s="3" t="str">
        <f t="shared" si="67"/>
        <v>kolkata</v>
      </c>
      <c r="O464" s="3" t="str">
        <f t="shared" si="68"/>
        <v>KOLKATA</v>
      </c>
      <c r="P464" s="3" t="str">
        <f t="shared" si="69"/>
        <v>Kolkata</v>
      </c>
      <c r="Q464" s="3">
        <f t="shared" si="70"/>
        <v>3.3166247903553998</v>
      </c>
    </row>
    <row r="465" spans="1:17">
      <c r="A465" t="s">
        <v>498</v>
      </c>
      <c r="B465" s="1">
        <v>45304</v>
      </c>
      <c r="C465" t="s">
        <v>18</v>
      </c>
      <c r="D465" t="s">
        <v>29</v>
      </c>
      <c r="E465" t="s">
        <v>27</v>
      </c>
      <c r="F465">
        <v>4</v>
      </c>
      <c r="G465">
        <v>625.99</v>
      </c>
      <c r="H465">
        <v>2503.96</v>
      </c>
      <c r="I465" t="str">
        <f t="shared" si="71"/>
        <v>Normal Order</v>
      </c>
      <c r="J465" t="str">
        <f t="shared" si="63"/>
        <v>ValueShop - Kolkata</v>
      </c>
      <c r="K465">
        <f t="shared" si="64"/>
        <v>5</v>
      </c>
      <c r="L465" t="str">
        <f t="shared" si="65"/>
        <v>Boo</v>
      </c>
      <c r="M465" s="3" t="str">
        <f t="shared" si="66"/>
        <v>RD146</v>
      </c>
      <c r="N465" s="3" t="str">
        <f t="shared" si="67"/>
        <v>kolkata</v>
      </c>
      <c r="O465" s="3" t="str">
        <f t="shared" si="68"/>
        <v>KOLKATA</v>
      </c>
      <c r="P465" s="3" t="str">
        <f t="shared" si="69"/>
        <v>Kolkata</v>
      </c>
      <c r="Q465" s="3">
        <f t="shared" si="70"/>
        <v>2</v>
      </c>
    </row>
    <row r="466" spans="1:17">
      <c r="A466" t="s">
        <v>499</v>
      </c>
      <c r="B466" s="1">
        <v>45383</v>
      </c>
      <c r="C466" t="s">
        <v>32</v>
      </c>
      <c r="D466" t="s">
        <v>37</v>
      </c>
      <c r="E466" t="s">
        <v>23</v>
      </c>
      <c r="F466">
        <v>14</v>
      </c>
      <c r="G466">
        <v>530.58000000000004</v>
      </c>
      <c r="H466">
        <v>7428.1200000000008</v>
      </c>
      <c r="I466" t="str">
        <f t="shared" si="71"/>
        <v>Bulk Order</v>
      </c>
      <c r="J466" t="str">
        <f t="shared" si="63"/>
        <v>MegaMart - Hyderabad</v>
      </c>
      <c r="K466">
        <f t="shared" si="64"/>
        <v>8</v>
      </c>
      <c r="L466" t="str">
        <f t="shared" si="65"/>
        <v>Clo</v>
      </c>
      <c r="M466" s="3" t="str">
        <f t="shared" si="66"/>
        <v>RD146</v>
      </c>
      <c r="N466" s="3" t="str">
        <f t="shared" si="67"/>
        <v>hyderabad</v>
      </c>
      <c r="O466" s="3" t="str">
        <f t="shared" si="68"/>
        <v>HYDERABAD</v>
      </c>
      <c r="P466" s="3" t="str">
        <f t="shared" si="69"/>
        <v>Hyderabad</v>
      </c>
      <c r="Q466" s="3">
        <f t="shared" si="70"/>
        <v>3.7416573867739413</v>
      </c>
    </row>
    <row r="467" spans="1:17">
      <c r="A467" t="s">
        <v>500</v>
      </c>
      <c r="B467" s="1">
        <v>45462</v>
      </c>
      <c r="C467" t="s">
        <v>32</v>
      </c>
      <c r="D467" t="s">
        <v>50</v>
      </c>
      <c r="E467" t="s">
        <v>30</v>
      </c>
      <c r="F467">
        <v>19</v>
      </c>
      <c r="G467">
        <v>193.34</v>
      </c>
      <c r="H467">
        <v>3673.46</v>
      </c>
      <c r="I467" t="str">
        <f t="shared" si="71"/>
        <v>Bulk Order</v>
      </c>
      <c r="J467" t="str">
        <f t="shared" si="63"/>
        <v>MegaMart - Mumbai</v>
      </c>
      <c r="K467">
        <f t="shared" si="64"/>
        <v>14</v>
      </c>
      <c r="L467" t="str">
        <f t="shared" si="65"/>
        <v>Hom</v>
      </c>
      <c r="M467" s="3" t="str">
        <f t="shared" si="66"/>
        <v>RD146</v>
      </c>
      <c r="N467" s="3" t="str">
        <f t="shared" si="67"/>
        <v>mumbai</v>
      </c>
      <c r="O467" s="3" t="str">
        <f t="shared" si="68"/>
        <v>MUMBAI</v>
      </c>
      <c r="P467" s="3" t="str">
        <f t="shared" si="69"/>
        <v>Mumbai</v>
      </c>
      <c r="Q467" s="3">
        <f t="shared" si="70"/>
        <v>4.358898943540674</v>
      </c>
    </row>
    <row r="468" spans="1:17">
      <c r="A468" t="s">
        <v>501</v>
      </c>
      <c r="B468" s="1">
        <v>45502</v>
      </c>
      <c r="C468" t="s">
        <v>22</v>
      </c>
      <c r="D468" t="s">
        <v>37</v>
      </c>
      <c r="E468" t="s">
        <v>34</v>
      </c>
      <c r="F468">
        <v>10</v>
      </c>
      <c r="G468">
        <v>572.54999999999995</v>
      </c>
      <c r="H468">
        <v>5725.5</v>
      </c>
      <c r="I468" t="str">
        <f t="shared" si="71"/>
        <v>Normal Order</v>
      </c>
      <c r="J468" t="str">
        <f t="shared" si="63"/>
        <v>CityStore - Hyderabad</v>
      </c>
      <c r="K468">
        <f t="shared" si="64"/>
        <v>4</v>
      </c>
      <c r="L468" t="str">
        <f t="shared" si="65"/>
        <v>Toy</v>
      </c>
      <c r="M468" s="3" t="str">
        <f t="shared" si="66"/>
        <v>RD146</v>
      </c>
      <c r="N468" s="3" t="str">
        <f t="shared" si="67"/>
        <v>hyderabad</v>
      </c>
      <c r="O468" s="3" t="str">
        <f t="shared" si="68"/>
        <v>HYDERABAD</v>
      </c>
      <c r="P468" s="3" t="str">
        <f t="shared" si="69"/>
        <v>Hyderabad</v>
      </c>
      <c r="Q468" s="3">
        <f t="shared" si="70"/>
        <v>3.1622776601683795</v>
      </c>
    </row>
    <row r="469" spans="1:17">
      <c r="A469" t="s">
        <v>502</v>
      </c>
      <c r="B469" s="1">
        <v>45634</v>
      </c>
      <c r="C469" t="s">
        <v>25</v>
      </c>
      <c r="D469" t="s">
        <v>50</v>
      </c>
      <c r="E469" t="s">
        <v>44</v>
      </c>
      <c r="F469">
        <v>1</v>
      </c>
      <c r="G469">
        <v>791</v>
      </c>
      <c r="H469">
        <v>791</v>
      </c>
      <c r="I469" t="str">
        <f t="shared" si="71"/>
        <v>Normal Order</v>
      </c>
      <c r="J469" t="str">
        <f t="shared" si="63"/>
        <v>QuickBuy - Mumbai</v>
      </c>
      <c r="K469">
        <f t="shared" si="64"/>
        <v>9</v>
      </c>
      <c r="L469" t="str">
        <f t="shared" si="65"/>
        <v>Gro</v>
      </c>
      <c r="M469" s="3" t="str">
        <f t="shared" si="66"/>
        <v>RD146</v>
      </c>
      <c r="N469" s="3" t="str">
        <f t="shared" si="67"/>
        <v>mumbai</v>
      </c>
      <c r="O469" s="3" t="str">
        <f t="shared" si="68"/>
        <v>MUMBAI</v>
      </c>
      <c r="P469" s="3" t="str">
        <f t="shared" si="69"/>
        <v>Mumbai</v>
      </c>
      <c r="Q469" s="3">
        <f t="shared" si="70"/>
        <v>1</v>
      </c>
    </row>
    <row r="470" spans="1:17">
      <c r="A470" t="s">
        <v>503</v>
      </c>
      <c r="B470" s="1">
        <v>45419</v>
      </c>
      <c r="C470" t="s">
        <v>25</v>
      </c>
      <c r="D470" t="s">
        <v>29</v>
      </c>
      <c r="E470" t="s">
        <v>27</v>
      </c>
      <c r="F470">
        <v>20</v>
      </c>
      <c r="G470">
        <v>1578.59</v>
      </c>
      <c r="H470">
        <v>31571.8</v>
      </c>
      <c r="I470" t="str">
        <f t="shared" si="71"/>
        <v>Bulk Order</v>
      </c>
      <c r="J470" t="str">
        <f t="shared" si="63"/>
        <v>QuickBuy - Kolkata</v>
      </c>
      <c r="K470">
        <f t="shared" si="64"/>
        <v>5</v>
      </c>
      <c r="L470" t="str">
        <f t="shared" si="65"/>
        <v>Boo</v>
      </c>
      <c r="M470" s="3" t="str">
        <f t="shared" si="66"/>
        <v>RD146</v>
      </c>
      <c r="N470" s="3" t="str">
        <f t="shared" si="67"/>
        <v>kolkata</v>
      </c>
      <c r="O470" s="3" t="str">
        <f t="shared" si="68"/>
        <v>KOLKATA</v>
      </c>
      <c r="P470" s="3" t="str">
        <f t="shared" si="69"/>
        <v>Kolkata</v>
      </c>
      <c r="Q470" s="3">
        <f t="shared" si="70"/>
        <v>4.4721359549995796</v>
      </c>
    </row>
    <row r="471" spans="1:17">
      <c r="A471" t="s">
        <v>504</v>
      </c>
      <c r="B471" s="1">
        <v>45428</v>
      </c>
      <c r="C471" t="s">
        <v>32</v>
      </c>
      <c r="D471" t="s">
        <v>29</v>
      </c>
      <c r="E471" t="s">
        <v>30</v>
      </c>
      <c r="F471">
        <v>16</v>
      </c>
      <c r="G471">
        <v>350.84</v>
      </c>
      <c r="H471">
        <v>5613.44</v>
      </c>
      <c r="I471" t="str">
        <f t="shared" si="71"/>
        <v>Bulk Order</v>
      </c>
      <c r="J471" t="str">
        <f t="shared" si="63"/>
        <v>MegaMart - Kolkata</v>
      </c>
      <c r="K471">
        <f t="shared" si="64"/>
        <v>14</v>
      </c>
      <c r="L471" t="str">
        <f t="shared" si="65"/>
        <v>Hom</v>
      </c>
      <c r="M471" s="3" t="str">
        <f t="shared" si="66"/>
        <v>RD146</v>
      </c>
      <c r="N471" s="3" t="str">
        <f t="shared" si="67"/>
        <v>kolkata</v>
      </c>
      <c r="O471" s="3" t="str">
        <f t="shared" si="68"/>
        <v>KOLKATA</v>
      </c>
      <c r="P471" s="3" t="str">
        <f t="shared" si="69"/>
        <v>Kolkata</v>
      </c>
      <c r="Q471" s="3">
        <f t="shared" si="70"/>
        <v>4</v>
      </c>
    </row>
    <row r="472" spans="1:17">
      <c r="A472" t="s">
        <v>505</v>
      </c>
      <c r="B472" s="1">
        <v>45373</v>
      </c>
      <c r="C472" t="s">
        <v>18</v>
      </c>
      <c r="D472" t="s">
        <v>50</v>
      </c>
      <c r="E472" t="s">
        <v>23</v>
      </c>
      <c r="F472">
        <v>9</v>
      </c>
      <c r="G472">
        <v>809.76</v>
      </c>
      <c r="H472">
        <v>7287.84</v>
      </c>
      <c r="I472" t="str">
        <f t="shared" si="71"/>
        <v>Normal Order</v>
      </c>
      <c r="J472" t="str">
        <f t="shared" si="63"/>
        <v>ValueShop - Mumbai</v>
      </c>
      <c r="K472">
        <f t="shared" si="64"/>
        <v>8</v>
      </c>
      <c r="L472" t="str">
        <f t="shared" si="65"/>
        <v>Clo</v>
      </c>
      <c r="M472" s="3" t="str">
        <f t="shared" si="66"/>
        <v>RD147</v>
      </c>
      <c r="N472" s="3" t="str">
        <f t="shared" si="67"/>
        <v>mumbai</v>
      </c>
      <c r="O472" s="3" t="str">
        <f t="shared" si="68"/>
        <v>MUMBAI</v>
      </c>
      <c r="P472" s="3" t="str">
        <f t="shared" si="69"/>
        <v>Mumbai</v>
      </c>
      <c r="Q472" s="3">
        <f t="shared" si="70"/>
        <v>3</v>
      </c>
    </row>
    <row r="473" spans="1:17">
      <c r="A473" t="s">
        <v>506</v>
      </c>
      <c r="B473" s="1">
        <v>45651</v>
      </c>
      <c r="C473" t="s">
        <v>25</v>
      </c>
      <c r="D473" t="s">
        <v>19</v>
      </c>
      <c r="E473" t="s">
        <v>34</v>
      </c>
      <c r="F473">
        <v>19</v>
      </c>
      <c r="G473">
        <v>753.37</v>
      </c>
      <c r="H473">
        <v>14314.03</v>
      </c>
      <c r="I473" t="str">
        <f t="shared" si="71"/>
        <v>Bulk Order</v>
      </c>
      <c r="J473" t="str">
        <f t="shared" si="63"/>
        <v>QuickBuy - Bangalore</v>
      </c>
      <c r="K473">
        <f t="shared" si="64"/>
        <v>4</v>
      </c>
      <c r="L473" t="str">
        <f t="shared" si="65"/>
        <v>Toy</v>
      </c>
      <c r="M473" s="3" t="str">
        <f t="shared" si="66"/>
        <v>RD147</v>
      </c>
      <c r="N473" s="3" t="str">
        <f t="shared" si="67"/>
        <v>bangalore</v>
      </c>
      <c r="O473" s="3" t="str">
        <f t="shared" si="68"/>
        <v>BANGALORE</v>
      </c>
      <c r="P473" s="3" t="str">
        <f t="shared" si="69"/>
        <v>Bangalore</v>
      </c>
      <c r="Q473" s="3">
        <f t="shared" si="70"/>
        <v>4.358898943540674</v>
      </c>
    </row>
    <row r="474" spans="1:17">
      <c r="A474" t="s">
        <v>507</v>
      </c>
      <c r="B474" s="1">
        <v>45347</v>
      </c>
      <c r="C474" t="s">
        <v>32</v>
      </c>
      <c r="D474" t="s">
        <v>29</v>
      </c>
      <c r="E474" t="s">
        <v>23</v>
      </c>
      <c r="F474">
        <v>19</v>
      </c>
      <c r="G474">
        <v>228.46</v>
      </c>
      <c r="H474">
        <v>4340.74</v>
      </c>
      <c r="I474" t="str">
        <f t="shared" si="71"/>
        <v>Bulk Order</v>
      </c>
      <c r="J474" t="str">
        <f t="shared" si="63"/>
        <v>MegaMart - Kolkata</v>
      </c>
      <c r="K474">
        <f t="shared" si="64"/>
        <v>8</v>
      </c>
      <c r="L474" t="str">
        <f t="shared" si="65"/>
        <v>Clo</v>
      </c>
      <c r="M474" s="3" t="str">
        <f t="shared" si="66"/>
        <v>RD147</v>
      </c>
      <c r="N474" s="3" t="str">
        <f t="shared" si="67"/>
        <v>kolkata</v>
      </c>
      <c r="O474" s="3" t="str">
        <f t="shared" si="68"/>
        <v>KOLKATA</v>
      </c>
      <c r="P474" s="3" t="str">
        <f t="shared" si="69"/>
        <v>Kolkata</v>
      </c>
      <c r="Q474" s="3">
        <f t="shared" si="70"/>
        <v>4.358898943540674</v>
      </c>
    </row>
    <row r="475" spans="1:17">
      <c r="A475" t="s">
        <v>508</v>
      </c>
      <c r="B475" s="1">
        <v>45487</v>
      </c>
      <c r="C475" t="s">
        <v>22</v>
      </c>
      <c r="D475" t="s">
        <v>50</v>
      </c>
      <c r="E475" t="s">
        <v>44</v>
      </c>
      <c r="F475">
        <v>8</v>
      </c>
      <c r="G475">
        <v>1888.77</v>
      </c>
      <c r="H475">
        <v>15110.16</v>
      </c>
      <c r="I475" t="str">
        <f t="shared" si="71"/>
        <v>Normal Order</v>
      </c>
      <c r="J475" t="str">
        <f t="shared" si="63"/>
        <v>CityStore - Mumbai</v>
      </c>
      <c r="K475">
        <f t="shared" si="64"/>
        <v>9</v>
      </c>
      <c r="L475" t="str">
        <f t="shared" si="65"/>
        <v>Gro</v>
      </c>
      <c r="M475" s="3" t="str">
        <f t="shared" si="66"/>
        <v>RD147</v>
      </c>
      <c r="N475" s="3" t="str">
        <f t="shared" si="67"/>
        <v>mumbai</v>
      </c>
      <c r="O475" s="3" t="str">
        <f t="shared" si="68"/>
        <v>MUMBAI</v>
      </c>
      <c r="P475" s="3" t="str">
        <f t="shared" si="69"/>
        <v>Mumbai</v>
      </c>
      <c r="Q475" s="3">
        <f t="shared" si="70"/>
        <v>2.8284271247461903</v>
      </c>
    </row>
    <row r="476" spans="1:17">
      <c r="A476" t="s">
        <v>509</v>
      </c>
      <c r="B476" s="1">
        <v>45311</v>
      </c>
      <c r="C476" t="s">
        <v>39</v>
      </c>
      <c r="D476" t="s">
        <v>29</v>
      </c>
      <c r="E476" t="s">
        <v>30</v>
      </c>
      <c r="F476">
        <v>2</v>
      </c>
      <c r="G476">
        <v>917.23</v>
      </c>
      <c r="H476">
        <v>1834.46</v>
      </c>
      <c r="I476" t="str">
        <f t="shared" si="71"/>
        <v>Normal Order</v>
      </c>
      <c r="J476" t="str">
        <f t="shared" si="63"/>
        <v>Trendz - Kolkata</v>
      </c>
      <c r="K476">
        <f t="shared" si="64"/>
        <v>14</v>
      </c>
      <c r="L476" t="str">
        <f t="shared" si="65"/>
        <v>Hom</v>
      </c>
      <c r="M476" s="3" t="str">
        <f t="shared" si="66"/>
        <v>RD147</v>
      </c>
      <c r="N476" s="3" t="str">
        <f t="shared" si="67"/>
        <v>kolkata</v>
      </c>
      <c r="O476" s="3" t="str">
        <f t="shared" si="68"/>
        <v>KOLKATA</v>
      </c>
      <c r="P476" s="3" t="str">
        <f t="shared" si="69"/>
        <v>Kolkata</v>
      </c>
      <c r="Q476" s="3">
        <f t="shared" si="70"/>
        <v>1.4142135623730951</v>
      </c>
    </row>
    <row r="477" spans="1:17">
      <c r="A477" t="s">
        <v>510</v>
      </c>
      <c r="B477" s="1">
        <v>45532</v>
      </c>
      <c r="C477" t="s">
        <v>25</v>
      </c>
      <c r="D477" t="s">
        <v>37</v>
      </c>
      <c r="E477" t="s">
        <v>23</v>
      </c>
      <c r="F477">
        <v>19</v>
      </c>
      <c r="G477">
        <v>1534.63</v>
      </c>
      <c r="H477">
        <v>29157.97</v>
      </c>
      <c r="I477" t="str">
        <f t="shared" si="71"/>
        <v>Bulk Order</v>
      </c>
      <c r="J477" t="str">
        <f t="shared" si="63"/>
        <v>QuickBuy - Hyderabad</v>
      </c>
      <c r="K477">
        <f t="shared" si="64"/>
        <v>8</v>
      </c>
      <c r="L477" t="str">
        <f t="shared" si="65"/>
        <v>Clo</v>
      </c>
      <c r="M477" s="3" t="str">
        <f t="shared" si="66"/>
        <v>RD147</v>
      </c>
      <c r="N477" s="3" t="str">
        <f t="shared" si="67"/>
        <v>hyderabad</v>
      </c>
      <c r="O477" s="3" t="str">
        <f t="shared" si="68"/>
        <v>HYDERABAD</v>
      </c>
      <c r="P477" s="3" t="str">
        <f t="shared" si="69"/>
        <v>Hyderabad</v>
      </c>
      <c r="Q477" s="3">
        <f t="shared" si="70"/>
        <v>4.358898943540674</v>
      </c>
    </row>
    <row r="478" spans="1:17">
      <c r="A478" t="s">
        <v>511</v>
      </c>
      <c r="B478" s="1">
        <v>45405</v>
      </c>
      <c r="C478" t="s">
        <v>39</v>
      </c>
      <c r="D478" t="s">
        <v>26</v>
      </c>
      <c r="E478" t="s">
        <v>44</v>
      </c>
      <c r="F478">
        <v>16</v>
      </c>
      <c r="G478">
        <v>249.35</v>
      </c>
      <c r="H478">
        <v>3989.6</v>
      </c>
      <c r="I478" t="str">
        <f t="shared" si="71"/>
        <v>Bulk Order</v>
      </c>
      <c r="J478" t="str">
        <f t="shared" si="63"/>
        <v>Trendz - Delhi</v>
      </c>
      <c r="K478">
        <f t="shared" si="64"/>
        <v>9</v>
      </c>
      <c r="L478" t="str">
        <f t="shared" si="65"/>
        <v>Gro</v>
      </c>
      <c r="M478" s="3" t="str">
        <f t="shared" si="66"/>
        <v>RD147</v>
      </c>
      <c r="N478" s="3" t="str">
        <f t="shared" si="67"/>
        <v>delhi</v>
      </c>
      <c r="O478" s="3" t="str">
        <f t="shared" si="68"/>
        <v>DELHI</v>
      </c>
      <c r="P478" s="3" t="str">
        <f t="shared" si="69"/>
        <v>Delhi</v>
      </c>
      <c r="Q478" s="3">
        <f t="shared" si="70"/>
        <v>4</v>
      </c>
    </row>
    <row r="479" spans="1:17">
      <c r="A479" t="s">
        <v>512</v>
      </c>
      <c r="B479" s="1">
        <v>45394</v>
      </c>
      <c r="C479" t="s">
        <v>18</v>
      </c>
      <c r="D479" t="s">
        <v>19</v>
      </c>
      <c r="E479" t="s">
        <v>27</v>
      </c>
      <c r="F479">
        <v>6</v>
      </c>
      <c r="G479">
        <v>220.23</v>
      </c>
      <c r="H479">
        <v>1321.38</v>
      </c>
      <c r="I479" t="str">
        <f t="shared" si="71"/>
        <v>Normal Order</v>
      </c>
      <c r="J479" t="str">
        <f t="shared" si="63"/>
        <v>ValueShop - Bangalore</v>
      </c>
      <c r="K479">
        <f t="shared" si="64"/>
        <v>5</v>
      </c>
      <c r="L479" t="str">
        <f t="shared" si="65"/>
        <v>Boo</v>
      </c>
      <c r="M479" s="3" t="str">
        <f t="shared" si="66"/>
        <v>RD147</v>
      </c>
      <c r="N479" s="3" t="str">
        <f t="shared" si="67"/>
        <v>bangalore</v>
      </c>
      <c r="O479" s="3" t="str">
        <f t="shared" si="68"/>
        <v>BANGALORE</v>
      </c>
      <c r="P479" s="3" t="str">
        <f t="shared" si="69"/>
        <v>Bangalore</v>
      </c>
      <c r="Q479" s="3">
        <f t="shared" si="70"/>
        <v>2.4494897427831779</v>
      </c>
    </row>
    <row r="480" spans="1:17">
      <c r="A480" t="s">
        <v>513</v>
      </c>
      <c r="B480" s="1">
        <v>45527</v>
      </c>
      <c r="C480" t="s">
        <v>22</v>
      </c>
      <c r="D480" t="s">
        <v>29</v>
      </c>
      <c r="E480" t="s">
        <v>34</v>
      </c>
      <c r="F480">
        <v>17</v>
      </c>
      <c r="G480">
        <v>890.41</v>
      </c>
      <c r="H480">
        <v>15136.97</v>
      </c>
      <c r="I480" t="str">
        <f t="shared" si="71"/>
        <v>Bulk Order</v>
      </c>
      <c r="J480" t="str">
        <f t="shared" si="63"/>
        <v>CityStore - Kolkata</v>
      </c>
      <c r="K480">
        <f t="shared" si="64"/>
        <v>4</v>
      </c>
      <c r="L480" t="str">
        <f t="shared" si="65"/>
        <v>Toy</v>
      </c>
      <c r="M480" s="3" t="str">
        <f t="shared" si="66"/>
        <v>RD147</v>
      </c>
      <c r="N480" s="3" t="str">
        <f t="shared" si="67"/>
        <v>kolkata</v>
      </c>
      <c r="O480" s="3" t="str">
        <f t="shared" si="68"/>
        <v>KOLKATA</v>
      </c>
      <c r="P480" s="3" t="str">
        <f t="shared" si="69"/>
        <v>Kolkata</v>
      </c>
      <c r="Q480" s="3">
        <f t="shared" si="70"/>
        <v>4.1231056256176606</v>
      </c>
    </row>
    <row r="481" spans="1:17">
      <c r="A481" t="s">
        <v>514</v>
      </c>
      <c r="B481" s="1">
        <v>45471</v>
      </c>
      <c r="C481" t="s">
        <v>25</v>
      </c>
      <c r="D481" t="s">
        <v>50</v>
      </c>
      <c r="E481" t="s">
        <v>30</v>
      </c>
      <c r="F481">
        <v>20</v>
      </c>
      <c r="G481">
        <v>1136.1199999999999</v>
      </c>
      <c r="H481">
        <v>22722.400000000001</v>
      </c>
      <c r="I481" t="str">
        <f t="shared" si="71"/>
        <v>Bulk Order</v>
      </c>
      <c r="J481" t="str">
        <f t="shared" si="63"/>
        <v>QuickBuy - Mumbai</v>
      </c>
      <c r="K481">
        <f t="shared" si="64"/>
        <v>14</v>
      </c>
      <c r="L481" t="str">
        <f t="shared" si="65"/>
        <v>Hom</v>
      </c>
      <c r="M481" s="3" t="str">
        <f t="shared" si="66"/>
        <v>RD147</v>
      </c>
      <c r="N481" s="3" t="str">
        <f t="shared" si="67"/>
        <v>mumbai</v>
      </c>
      <c r="O481" s="3" t="str">
        <f t="shared" si="68"/>
        <v>MUMBAI</v>
      </c>
      <c r="P481" s="3" t="str">
        <f t="shared" si="69"/>
        <v>Mumbai</v>
      </c>
      <c r="Q481" s="3">
        <f t="shared" si="70"/>
        <v>4.4721359549995796</v>
      </c>
    </row>
    <row r="482" spans="1:17">
      <c r="A482" t="s">
        <v>515</v>
      </c>
      <c r="B482" s="1">
        <v>45448</v>
      </c>
      <c r="C482" t="s">
        <v>39</v>
      </c>
      <c r="D482" t="s">
        <v>50</v>
      </c>
      <c r="E482" t="s">
        <v>30</v>
      </c>
      <c r="F482">
        <v>13</v>
      </c>
      <c r="G482">
        <v>1049.26</v>
      </c>
      <c r="H482">
        <v>13640.38</v>
      </c>
      <c r="I482" t="str">
        <f t="shared" si="71"/>
        <v>Bulk Order</v>
      </c>
      <c r="J482" t="str">
        <f t="shared" si="63"/>
        <v>Trendz - Mumbai</v>
      </c>
      <c r="K482">
        <f t="shared" si="64"/>
        <v>14</v>
      </c>
      <c r="L482" t="str">
        <f t="shared" si="65"/>
        <v>Hom</v>
      </c>
      <c r="M482" s="3" t="str">
        <f t="shared" si="66"/>
        <v>RD148</v>
      </c>
      <c r="N482" s="3" t="str">
        <f t="shared" si="67"/>
        <v>mumbai</v>
      </c>
      <c r="O482" s="3" t="str">
        <f t="shared" si="68"/>
        <v>MUMBAI</v>
      </c>
      <c r="P482" s="3" t="str">
        <f t="shared" si="69"/>
        <v>Mumbai</v>
      </c>
      <c r="Q482" s="3">
        <f t="shared" si="70"/>
        <v>3.6055512754639891</v>
      </c>
    </row>
    <row r="483" spans="1:17">
      <c r="A483" t="s">
        <v>516</v>
      </c>
      <c r="B483" s="1">
        <v>45408</v>
      </c>
      <c r="C483" t="s">
        <v>39</v>
      </c>
      <c r="D483" t="s">
        <v>37</v>
      </c>
      <c r="E483" t="s">
        <v>44</v>
      </c>
      <c r="F483">
        <v>5</v>
      </c>
      <c r="G483">
        <v>251.42</v>
      </c>
      <c r="H483">
        <v>1257.0999999999999</v>
      </c>
      <c r="I483" t="str">
        <f t="shared" si="71"/>
        <v>Normal Order</v>
      </c>
      <c r="J483" t="str">
        <f t="shared" si="63"/>
        <v>Trendz - Hyderabad</v>
      </c>
      <c r="K483">
        <f t="shared" si="64"/>
        <v>9</v>
      </c>
      <c r="L483" t="str">
        <f t="shared" si="65"/>
        <v>Gro</v>
      </c>
      <c r="M483" s="3" t="str">
        <f t="shared" si="66"/>
        <v>RD148</v>
      </c>
      <c r="N483" s="3" t="str">
        <f t="shared" si="67"/>
        <v>hyderabad</v>
      </c>
      <c r="O483" s="3" t="str">
        <f t="shared" si="68"/>
        <v>HYDERABAD</v>
      </c>
      <c r="P483" s="3" t="str">
        <f t="shared" si="69"/>
        <v>Hyderabad</v>
      </c>
      <c r="Q483" s="3">
        <f t="shared" si="70"/>
        <v>2.2360679774997898</v>
      </c>
    </row>
    <row r="484" spans="1:17">
      <c r="A484" t="s">
        <v>517</v>
      </c>
      <c r="B484" s="1">
        <v>45406</v>
      </c>
      <c r="C484" t="s">
        <v>32</v>
      </c>
      <c r="D484" t="s">
        <v>19</v>
      </c>
      <c r="E484" t="s">
        <v>30</v>
      </c>
      <c r="F484">
        <v>8</v>
      </c>
      <c r="G484">
        <v>224.76</v>
      </c>
      <c r="H484">
        <v>1798.08</v>
      </c>
      <c r="I484" t="str">
        <f t="shared" si="71"/>
        <v>Normal Order</v>
      </c>
      <c r="J484" t="str">
        <f t="shared" si="63"/>
        <v>MegaMart - Bangalore</v>
      </c>
      <c r="K484">
        <f t="shared" si="64"/>
        <v>14</v>
      </c>
      <c r="L484" t="str">
        <f t="shared" si="65"/>
        <v>Hom</v>
      </c>
      <c r="M484" s="3" t="str">
        <f t="shared" si="66"/>
        <v>RD148</v>
      </c>
      <c r="N484" s="3" t="str">
        <f t="shared" si="67"/>
        <v>bangalore</v>
      </c>
      <c r="O484" s="3" t="str">
        <f t="shared" si="68"/>
        <v>BANGALORE</v>
      </c>
      <c r="P484" s="3" t="str">
        <f t="shared" si="69"/>
        <v>Bangalore</v>
      </c>
      <c r="Q484" s="3">
        <f t="shared" si="70"/>
        <v>2.8284271247461903</v>
      </c>
    </row>
    <row r="485" spans="1:17">
      <c r="A485" t="s">
        <v>518</v>
      </c>
      <c r="B485" s="1">
        <v>45304</v>
      </c>
      <c r="C485" t="s">
        <v>39</v>
      </c>
      <c r="D485" t="s">
        <v>29</v>
      </c>
      <c r="E485" t="s">
        <v>34</v>
      </c>
      <c r="F485">
        <v>2</v>
      </c>
      <c r="G485">
        <v>1130.73</v>
      </c>
      <c r="H485">
        <v>2261.46</v>
      </c>
      <c r="I485" t="str">
        <f t="shared" si="71"/>
        <v>Normal Order</v>
      </c>
      <c r="J485" t="str">
        <f t="shared" si="63"/>
        <v>Trendz - Kolkata</v>
      </c>
      <c r="K485">
        <f t="shared" si="64"/>
        <v>4</v>
      </c>
      <c r="L485" t="str">
        <f t="shared" si="65"/>
        <v>Toy</v>
      </c>
      <c r="M485" s="3" t="str">
        <f t="shared" si="66"/>
        <v>RD148</v>
      </c>
      <c r="N485" s="3" t="str">
        <f t="shared" si="67"/>
        <v>kolkata</v>
      </c>
      <c r="O485" s="3" t="str">
        <f t="shared" si="68"/>
        <v>KOLKATA</v>
      </c>
      <c r="P485" s="3" t="str">
        <f t="shared" si="69"/>
        <v>Kolkata</v>
      </c>
      <c r="Q485" s="3">
        <f t="shared" si="70"/>
        <v>1.4142135623730951</v>
      </c>
    </row>
    <row r="486" spans="1:17">
      <c r="A486" t="s">
        <v>519</v>
      </c>
      <c r="B486" s="1">
        <v>45629</v>
      </c>
      <c r="C486" t="s">
        <v>18</v>
      </c>
      <c r="D486" t="s">
        <v>50</v>
      </c>
      <c r="E486" t="s">
        <v>34</v>
      </c>
      <c r="F486">
        <v>19</v>
      </c>
      <c r="G486">
        <v>1214</v>
      </c>
      <c r="H486">
        <v>23066</v>
      </c>
      <c r="I486" t="str">
        <f t="shared" si="71"/>
        <v>Bulk Order</v>
      </c>
      <c r="J486" t="str">
        <f t="shared" si="63"/>
        <v>ValueShop - Mumbai</v>
      </c>
      <c r="K486">
        <f t="shared" si="64"/>
        <v>4</v>
      </c>
      <c r="L486" t="str">
        <f t="shared" si="65"/>
        <v>Toy</v>
      </c>
      <c r="M486" s="3" t="str">
        <f t="shared" si="66"/>
        <v>RD148</v>
      </c>
      <c r="N486" s="3" t="str">
        <f t="shared" si="67"/>
        <v>mumbai</v>
      </c>
      <c r="O486" s="3" t="str">
        <f t="shared" si="68"/>
        <v>MUMBAI</v>
      </c>
      <c r="P486" s="3" t="str">
        <f t="shared" si="69"/>
        <v>Mumbai</v>
      </c>
      <c r="Q486" s="3">
        <f t="shared" si="70"/>
        <v>4.358898943540674</v>
      </c>
    </row>
    <row r="487" spans="1:17">
      <c r="A487" t="s">
        <v>520</v>
      </c>
      <c r="B487" s="1">
        <v>45390</v>
      </c>
      <c r="C487" t="s">
        <v>39</v>
      </c>
      <c r="D487" t="s">
        <v>26</v>
      </c>
      <c r="E487" t="s">
        <v>30</v>
      </c>
      <c r="F487">
        <v>4</v>
      </c>
      <c r="G487">
        <v>1579.66</v>
      </c>
      <c r="H487">
        <v>6318.64</v>
      </c>
      <c r="I487" t="str">
        <f t="shared" si="71"/>
        <v>Normal Order</v>
      </c>
      <c r="J487" t="str">
        <f t="shared" si="63"/>
        <v>Trendz - Delhi</v>
      </c>
      <c r="K487">
        <f t="shared" si="64"/>
        <v>14</v>
      </c>
      <c r="L487" t="str">
        <f t="shared" si="65"/>
        <v>Hom</v>
      </c>
      <c r="M487" s="3" t="str">
        <f t="shared" si="66"/>
        <v>RD148</v>
      </c>
      <c r="N487" s="3" t="str">
        <f t="shared" si="67"/>
        <v>delhi</v>
      </c>
      <c r="O487" s="3" t="str">
        <f t="shared" si="68"/>
        <v>DELHI</v>
      </c>
      <c r="P487" s="3" t="str">
        <f t="shared" si="69"/>
        <v>Delhi</v>
      </c>
      <c r="Q487" s="3">
        <f t="shared" si="70"/>
        <v>2</v>
      </c>
    </row>
    <row r="488" spans="1:17">
      <c r="A488" t="s">
        <v>521</v>
      </c>
      <c r="B488" s="1">
        <v>45496</v>
      </c>
      <c r="C488" t="s">
        <v>18</v>
      </c>
      <c r="D488" t="s">
        <v>42</v>
      </c>
      <c r="E488" t="s">
        <v>23</v>
      </c>
      <c r="F488">
        <v>7</v>
      </c>
      <c r="G488">
        <v>1734.25</v>
      </c>
      <c r="H488">
        <v>12139.75</v>
      </c>
      <c r="I488" t="str">
        <f t="shared" si="71"/>
        <v>Normal Order</v>
      </c>
      <c r="J488" t="str">
        <f t="shared" si="63"/>
        <v>ValueShop - Pune</v>
      </c>
      <c r="K488">
        <f t="shared" si="64"/>
        <v>8</v>
      </c>
      <c r="L488" t="str">
        <f t="shared" si="65"/>
        <v>Clo</v>
      </c>
      <c r="M488" s="3" t="str">
        <f t="shared" si="66"/>
        <v>RD148</v>
      </c>
      <c r="N488" s="3" t="str">
        <f t="shared" si="67"/>
        <v>pune</v>
      </c>
      <c r="O488" s="3" t="str">
        <f t="shared" si="68"/>
        <v>PUNE</v>
      </c>
      <c r="P488" s="3" t="str">
        <f t="shared" si="69"/>
        <v>Pune</v>
      </c>
      <c r="Q488" s="3">
        <f t="shared" si="70"/>
        <v>2.6457513110645907</v>
      </c>
    </row>
    <row r="489" spans="1:17">
      <c r="A489" t="s">
        <v>522</v>
      </c>
      <c r="B489" s="1">
        <v>45460</v>
      </c>
      <c r="C489" t="s">
        <v>18</v>
      </c>
      <c r="D489" t="s">
        <v>29</v>
      </c>
      <c r="E489" t="s">
        <v>23</v>
      </c>
      <c r="F489">
        <v>1</v>
      </c>
      <c r="G489">
        <v>74.06</v>
      </c>
      <c r="H489">
        <v>74.06</v>
      </c>
      <c r="I489" t="str">
        <f t="shared" si="71"/>
        <v>Normal Order</v>
      </c>
      <c r="J489" t="str">
        <f t="shared" si="63"/>
        <v>ValueShop - Kolkata</v>
      </c>
      <c r="K489">
        <f t="shared" si="64"/>
        <v>8</v>
      </c>
      <c r="L489" t="str">
        <f t="shared" si="65"/>
        <v>Clo</v>
      </c>
      <c r="M489" s="3" t="str">
        <f t="shared" si="66"/>
        <v>RD148</v>
      </c>
      <c r="N489" s="3" t="str">
        <f t="shared" si="67"/>
        <v>kolkata</v>
      </c>
      <c r="O489" s="3" t="str">
        <f t="shared" si="68"/>
        <v>KOLKATA</v>
      </c>
      <c r="P489" s="3" t="str">
        <f t="shared" si="69"/>
        <v>Kolkata</v>
      </c>
      <c r="Q489" s="3">
        <f t="shared" si="70"/>
        <v>1</v>
      </c>
    </row>
    <row r="490" spans="1:17">
      <c r="A490" t="s">
        <v>523</v>
      </c>
      <c r="B490" s="1">
        <v>45434</v>
      </c>
      <c r="C490" t="s">
        <v>32</v>
      </c>
      <c r="D490" t="s">
        <v>26</v>
      </c>
      <c r="E490" t="s">
        <v>34</v>
      </c>
      <c r="F490">
        <v>15</v>
      </c>
      <c r="G490">
        <v>856.93</v>
      </c>
      <c r="H490">
        <v>12853.95</v>
      </c>
      <c r="I490" t="str">
        <f t="shared" si="71"/>
        <v>Bulk Order</v>
      </c>
      <c r="J490" t="str">
        <f t="shared" si="63"/>
        <v>MegaMart - Delhi</v>
      </c>
      <c r="K490">
        <f t="shared" si="64"/>
        <v>4</v>
      </c>
      <c r="L490" t="str">
        <f t="shared" si="65"/>
        <v>Toy</v>
      </c>
      <c r="M490" s="3" t="str">
        <f t="shared" si="66"/>
        <v>RD148</v>
      </c>
      <c r="N490" s="3" t="str">
        <f t="shared" si="67"/>
        <v>delhi</v>
      </c>
      <c r="O490" s="3" t="str">
        <f t="shared" si="68"/>
        <v>DELHI</v>
      </c>
      <c r="P490" s="3" t="str">
        <f t="shared" si="69"/>
        <v>Delhi</v>
      </c>
      <c r="Q490" s="3">
        <f t="shared" si="70"/>
        <v>3.872983346207417</v>
      </c>
    </row>
    <row r="491" spans="1:17">
      <c r="A491" t="s">
        <v>524</v>
      </c>
      <c r="B491" s="1">
        <v>45327</v>
      </c>
      <c r="C491" t="s">
        <v>22</v>
      </c>
      <c r="D491" t="s">
        <v>50</v>
      </c>
      <c r="E491" t="s">
        <v>23</v>
      </c>
      <c r="F491">
        <v>11</v>
      </c>
      <c r="G491">
        <v>1569.38</v>
      </c>
      <c r="H491">
        <v>17263.18</v>
      </c>
      <c r="I491" t="str">
        <f t="shared" si="71"/>
        <v>Bulk Order</v>
      </c>
      <c r="J491" t="str">
        <f t="shared" si="63"/>
        <v>CityStore - Mumbai</v>
      </c>
      <c r="K491">
        <f t="shared" si="64"/>
        <v>8</v>
      </c>
      <c r="L491" t="str">
        <f t="shared" si="65"/>
        <v>Clo</v>
      </c>
      <c r="M491" s="3" t="str">
        <f t="shared" si="66"/>
        <v>RD148</v>
      </c>
      <c r="N491" s="3" t="str">
        <f t="shared" si="67"/>
        <v>mumbai</v>
      </c>
      <c r="O491" s="3" t="str">
        <f t="shared" si="68"/>
        <v>MUMBAI</v>
      </c>
      <c r="P491" s="3" t="str">
        <f t="shared" si="69"/>
        <v>Mumbai</v>
      </c>
      <c r="Q491" s="3">
        <f t="shared" si="70"/>
        <v>3.3166247903553998</v>
      </c>
    </row>
    <row r="492" spans="1:17">
      <c r="A492" t="s">
        <v>525</v>
      </c>
      <c r="B492" s="1">
        <v>45434</v>
      </c>
      <c r="C492" t="s">
        <v>18</v>
      </c>
      <c r="D492" t="s">
        <v>26</v>
      </c>
      <c r="E492" t="s">
        <v>44</v>
      </c>
      <c r="F492">
        <v>14</v>
      </c>
      <c r="G492">
        <v>1463.45</v>
      </c>
      <c r="H492">
        <v>20488.3</v>
      </c>
      <c r="I492" t="str">
        <f t="shared" si="71"/>
        <v>Bulk Order</v>
      </c>
      <c r="J492" t="str">
        <f t="shared" si="63"/>
        <v>ValueShop - Delhi</v>
      </c>
      <c r="K492">
        <f t="shared" si="64"/>
        <v>9</v>
      </c>
      <c r="L492" t="str">
        <f t="shared" si="65"/>
        <v>Gro</v>
      </c>
      <c r="M492" s="3" t="str">
        <f t="shared" si="66"/>
        <v>RD149</v>
      </c>
      <c r="N492" s="3" t="str">
        <f t="shared" si="67"/>
        <v>delhi</v>
      </c>
      <c r="O492" s="3" t="str">
        <f t="shared" si="68"/>
        <v>DELHI</v>
      </c>
      <c r="P492" s="3" t="str">
        <f t="shared" si="69"/>
        <v>Delhi</v>
      </c>
      <c r="Q492" s="3">
        <f t="shared" si="70"/>
        <v>3.7416573867739413</v>
      </c>
    </row>
    <row r="493" spans="1:17">
      <c r="A493" t="s">
        <v>526</v>
      </c>
      <c r="B493" s="1">
        <v>45471</v>
      </c>
      <c r="C493" t="s">
        <v>39</v>
      </c>
      <c r="D493" t="s">
        <v>19</v>
      </c>
      <c r="E493" t="s">
        <v>20</v>
      </c>
      <c r="F493">
        <v>5</v>
      </c>
      <c r="G493">
        <v>1141.0999999999999</v>
      </c>
      <c r="H493">
        <v>5705.5</v>
      </c>
      <c r="I493" t="str">
        <f t="shared" si="71"/>
        <v>Normal Order</v>
      </c>
      <c r="J493" t="str">
        <f t="shared" si="63"/>
        <v>Trendz - Bangalore</v>
      </c>
      <c r="K493">
        <f t="shared" si="64"/>
        <v>11</v>
      </c>
      <c r="L493" t="str">
        <f t="shared" si="65"/>
        <v>Ele</v>
      </c>
      <c r="M493" s="3" t="str">
        <f t="shared" si="66"/>
        <v>RD149</v>
      </c>
      <c r="N493" s="3" t="str">
        <f t="shared" si="67"/>
        <v>bangalore</v>
      </c>
      <c r="O493" s="3" t="str">
        <f t="shared" si="68"/>
        <v>BANGALORE</v>
      </c>
      <c r="P493" s="3" t="str">
        <f t="shared" si="69"/>
        <v>Bangalore</v>
      </c>
      <c r="Q493" s="3">
        <f t="shared" si="70"/>
        <v>2.2360679774997898</v>
      </c>
    </row>
    <row r="494" spans="1:17">
      <c r="A494" t="s">
        <v>527</v>
      </c>
      <c r="B494" s="1">
        <v>45620</v>
      </c>
      <c r="C494" t="s">
        <v>39</v>
      </c>
      <c r="D494" t="s">
        <v>29</v>
      </c>
      <c r="E494" t="s">
        <v>27</v>
      </c>
      <c r="F494">
        <v>14</v>
      </c>
      <c r="G494">
        <v>1985.82</v>
      </c>
      <c r="H494">
        <v>27801.48</v>
      </c>
      <c r="I494" t="str">
        <f t="shared" si="71"/>
        <v>Bulk Order</v>
      </c>
      <c r="J494" t="str">
        <f t="shared" si="63"/>
        <v>Trendz - Kolkata</v>
      </c>
      <c r="K494">
        <f t="shared" si="64"/>
        <v>5</v>
      </c>
      <c r="L494" t="str">
        <f t="shared" si="65"/>
        <v>Boo</v>
      </c>
      <c r="M494" s="3" t="str">
        <f t="shared" si="66"/>
        <v>RD149</v>
      </c>
      <c r="N494" s="3" t="str">
        <f t="shared" si="67"/>
        <v>kolkata</v>
      </c>
      <c r="O494" s="3" t="str">
        <f t="shared" si="68"/>
        <v>KOLKATA</v>
      </c>
      <c r="P494" s="3" t="str">
        <f t="shared" si="69"/>
        <v>Kolkata</v>
      </c>
      <c r="Q494" s="3">
        <f t="shared" si="70"/>
        <v>3.7416573867739413</v>
      </c>
    </row>
    <row r="495" spans="1:17">
      <c r="A495" t="s">
        <v>528</v>
      </c>
      <c r="B495" s="1">
        <v>45552</v>
      </c>
      <c r="C495" t="s">
        <v>18</v>
      </c>
      <c r="D495" t="s">
        <v>29</v>
      </c>
      <c r="E495" t="s">
        <v>30</v>
      </c>
      <c r="F495">
        <v>7</v>
      </c>
      <c r="G495">
        <v>523.35</v>
      </c>
      <c r="H495">
        <v>3663.45</v>
      </c>
      <c r="I495" t="str">
        <f t="shared" si="71"/>
        <v>Normal Order</v>
      </c>
      <c r="J495" t="str">
        <f t="shared" si="63"/>
        <v>ValueShop - Kolkata</v>
      </c>
      <c r="K495">
        <f t="shared" si="64"/>
        <v>14</v>
      </c>
      <c r="L495" t="str">
        <f t="shared" si="65"/>
        <v>Hom</v>
      </c>
      <c r="M495" s="3" t="str">
        <f t="shared" si="66"/>
        <v>RD149</v>
      </c>
      <c r="N495" s="3" t="str">
        <f t="shared" si="67"/>
        <v>kolkata</v>
      </c>
      <c r="O495" s="3" t="str">
        <f t="shared" si="68"/>
        <v>KOLKATA</v>
      </c>
      <c r="P495" s="3" t="str">
        <f t="shared" si="69"/>
        <v>Kolkata</v>
      </c>
      <c r="Q495" s="3">
        <f t="shared" si="70"/>
        <v>2.6457513110645907</v>
      </c>
    </row>
    <row r="496" spans="1:17">
      <c r="A496" t="s">
        <v>529</v>
      </c>
      <c r="B496" s="1">
        <v>45496</v>
      </c>
      <c r="C496" t="s">
        <v>39</v>
      </c>
      <c r="D496" t="s">
        <v>50</v>
      </c>
      <c r="E496" t="s">
        <v>44</v>
      </c>
      <c r="F496">
        <v>14</v>
      </c>
      <c r="G496">
        <v>1066.1500000000001</v>
      </c>
      <c r="H496">
        <v>14926.1</v>
      </c>
      <c r="I496" t="str">
        <f t="shared" si="71"/>
        <v>Bulk Order</v>
      </c>
      <c r="J496" t="str">
        <f t="shared" si="63"/>
        <v>Trendz - Mumbai</v>
      </c>
      <c r="K496">
        <f t="shared" si="64"/>
        <v>9</v>
      </c>
      <c r="L496" t="str">
        <f t="shared" si="65"/>
        <v>Gro</v>
      </c>
      <c r="M496" s="3" t="str">
        <f t="shared" si="66"/>
        <v>RD149</v>
      </c>
      <c r="N496" s="3" t="str">
        <f t="shared" si="67"/>
        <v>mumbai</v>
      </c>
      <c r="O496" s="3" t="str">
        <f t="shared" si="68"/>
        <v>MUMBAI</v>
      </c>
      <c r="P496" s="3" t="str">
        <f t="shared" si="69"/>
        <v>Mumbai</v>
      </c>
      <c r="Q496" s="3">
        <f t="shared" si="70"/>
        <v>3.7416573867739413</v>
      </c>
    </row>
    <row r="497" spans="1:17">
      <c r="A497" t="s">
        <v>530</v>
      </c>
      <c r="B497" s="1">
        <v>45639</v>
      </c>
      <c r="C497" t="s">
        <v>25</v>
      </c>
      <c r="D497" t="s">
        <v>37</v>
      </c>
      <c r="E497" t="s">
        <v>34</v>
      </c>
      <c r="F497">
        <v>17</v>
      </c>
      <c r="G497">
        <v>1386.37</v>
      </c>
      <c r="H497">
        <v>23568.29</v>
      </c>
      <c r="I497" t="str">
        <f t="shared" si="71"/>
        <v>Bulk Order</v>
      </c>
      <c r="J497" t="str">
        <f t="shared" si="63"/>
        <v>QuickBuy - Hyderabad</v>
      </c>
      <c r="K497">
        <f t="shared" si="64"/>
        <v>4</v>
      </c>
      <c r="L497" t="str">
        <f t="shared" si="65"/>
        <v>Toy</v>
      </c>
      <c r="M497" s="3" t="str">
        <f t="shared" si="66"/>
        <v>RD149</v>
      </c>
      <c r="N497" s="3" t="str">
        <f t="shared" si="67"/>
        <v>hyderabad</v>
      </c>
      <c r="O497" s="3" t="str">
        <f t="shared" si="68"/>
        <v>HYDERABAD</v>
      </c>
      <c r="P497" s="3" t="str">
        <f t="shared" si="69"/>
        <v>Hyderabad</v>
      </c>
      <c r="Q497" s="3">
        <f t="shared" si="70"/>
        <v>4.1231056256176606</v>
      </c>
    </row>
    <row r="498" spans="1:17">
      <c r="A498" t="s">
        <v>531</v>
      </c>
      <c r="B498" s="1">
        <v>45566</v>
      </c>
      <c r="C498" t="s">
        <v>32</v>
      </c>
      <c r="D498" t="s">
        <v>19</v>
      </c>
      <c r="E498" t="s">
        <v>20</v>
      </c>
      <c r="F498">
        <v>20</v>
      </c>
      <c r="G498">
        <v>380.53</v>
      </c>
      <c r="H498">
        <v>7610.5999999999995</v>
      </c>
      <c r="I498" t="str">
        <f t="shared" si="71"/>
        <v>Bulk Order</v>
      </c>
      <c r="J498" t="str">
        <f t="shared" si="63"/>
        <v>MegaMart - Bangalore</v>
      </c>
      <c r="K498">
        <f t="shared" si="64"/>
        <v>11</v>
      </c>
      <c r="L498" t="str">
        <f t="shared" si="65"/>
        <v>Ele</v>
      </c>
      <c r="M498" s="3" t="str">
        <f t="shared" si="66"/>
        <v>RD149</v>
      </c>
      <c r="N498" s="3" t="str">
        <f t="shared" si="67"/>
        <v>bangalore</v>
      </c>
      <c r="O498" s="3" t="str">
        <f t="shared" si="68"/>
        <v>BANGALORE</v>
      </c>
      <c r="P498" s="3" t="str">
        <f t="shared" si="69"/>
        <v>Bangalore</v>
      </c>
      <c r="Q498" s="3">
        <f t="shared" si="70"/>
        <v>4.4721359549995796</v>
      </c>
    </row>
    <row r="499" spans="1:17">
      <c r="A499" t="s">
        <v>532</v>
      </c>
      <c r="B499" s="1">
        <v>45461</v>
      </c>
      <c r="C499" t="s">
        <v>39</v>
      </c>
      <c r="D499" t="s">
        <v>26</v>
      </c>
      <c r="E499" t="s">
        <v>27</v>
      </c>
      <c r="F499">
        <v>16</v>
      </c>
      <c r="G499">
        <v>574.39</v>
      </c>
      <c r="H499">
        <v>9190.24</v>
      </c>
      <c r="I499" t="str">
        <f t="shared" si="71"/>
        <v>Bulk Order</v>
      </c>
      <c r="J499" t="str">
        <f t="shared" si="63"/>
        <v>Trendz - Delhi</v>
      </c>
      <c r="K499">
        <f t="shared" si="64"/>
        <v>5</v>
      </c>
      <c r="L499" t="str">
        <f t="shared" si="65"/>
        <v>Boo</v>
      </c>
      <c r="M499" s="3" t="str">
        <f t="shared" si="66"/>
        <v>RD149</v>
      </c>
      <c r="N499" s="3" t="str">
        <f t="shared" si="67"/>
        <v>delhi</v>
      </c>
      <c r="O499" s="3" t="str">
        <f t="shared" si="68"/>
        <v>DELHI</v>
      </c>
      <c r="P499" s="3" t="str">
        <f t="shared" si="69"/>
        <v>Delhi</v>
      </c>
      <c r="Q499" s="3">
        <f t="shared" si="70"/>
        <v>4</v>
      </c>
    </row>
    <row r="500" spans="1:17">
      <c r="A500" t="s">
        <v>533</v>
      </c>
      <c r="B500" s="1">
        <v>45306</v>
      </c>
      <c r="C500" t="s">
        <v>32</v>
      </c>
      <c r="D500" t="s">
        <v>50</v>
      </c>
      <c r="E500" t="s">
        <v>34</v>
      </c>
      <c r="F500">
        <v>2</v>
      </c>
      <c r="G500">
        <v>573.39</v>
      </c>
      <c r="H500">
        <v>1146.78</v>
      </c>
      <c r="I500" t="str">
        <f t="shared" si="71"/>
        <v>Normal Order</v>
      </c>
      <c r="J500" t="str">
        <f t="shared" si="63"/>
        <v>MegaMart - Mumbai</v>
      </c>
      <c r="K500">
        <f t="shared" si="64"/>
        <v>4</v>
      </c>
      <c r="L500" t="str">
        <f t="shared" si="65"/>
        <v>Toy</v>
      </c>
      <c r="M500" s="3" t="str">
        <f t="shared" si="66"/>
        <v>RD149</v>
      </c>
      <c r="N500" s="3" t="str">
        <f t="shared" si="67"/>
        <v>mumbai</v>
      </c>
      <c r="O500" s="3" t="str">
        <f t="shared" si="68"/>
        <v>MUMBAI</v>
      </c>
      <c r="P500" s="3" t="str">
        <f t="shared" si="69"/>
        <v>Mumbai</v>
      </c>
      <c r="Q500" s="3">
        <f t="shared" si="70"/>
        <v>1.4142135623730951</v>
      </c>
    </row>
    <row r="501" spans="1:17">
      <c r="A501" t="s">
        <v>534</v>
      </c>
      <c r="B501" s="1">
        <v>45351</v>
      </c>
      <c r="C501" t="s">
        <v>18</v>
      </c>
      <c r="D501" t="s">
        <v>19</v>
      </c>
      <c r="E501" t="s">
        <v>20</v>
      </c>
      <c r="F501">
        <v>5</v>
      </c>
      <c r="G501">
        <v>334.57</v>
      </c>
      <c r="H501">
        <v>1672.85</v>
      </c>
      <c r="I501" t="str">
        <f t="shared" si="71"/>
        <v>Normal Order</v>
      </c>
      <c r="J501" t="str">
        <f t="shared" si="63"/>
        <v>ValueShop - Bangalore</v>
      </c>
      <c r="K501">
        <f t="shared" si="64"/>
        <v>11</v>
      </c>
      <c r="L501" t="str">
        <f t="shared" si="65"/>
        <v>Ele</v>
      </c>
      <c r="M501" s="3" t="str">
        <f t="shared" si="66"/>
        <v>RD149</v>
      </c>
      <c r="N501" s="3" t="str">
        <f t="shared" si="67"/>
        <v>bangalore</v>
      </c>
      <c r="O501" s="3" t="str">
        <f t="shared" si="68"/>
        <v>BANGALORE</v>
      </c>
      <c r="P501" s="3" t="str">
        <f t="shared" si="69"/>
        <v>Bangalore</v>
      </c>
      <c r="Q501" s="3">
        <f t="shared" si="70"/>
        <v>2.2360679774997898</v>
      </c>
    </row>
    <row r="502" spans="1:17">
      <c r="B502" s="1"/>
      <c r="J502" t="str">
        <f t="shared" si="63"/>
        <v xml:space="preserve"> - </v>
      </c>
      <c r="K502">
        <f t="shared" si="64"/>
        <v>0</v>
      </c>
      <c r="L502" t="str">
        <f t="shared" si="65"/>
        <v/>
      </c>
      <c r="M502" s="3" t="str">
        <f t="shared" si="66"/>
        <v/>
      </c>
      <c r="N502" s="3" t="str">
        <f t="shared" si="67"/>
        <v/>
      </c>
      <c r="O502" s="3" t="str">
        <f t="shared" si="68"/>
        <v/>
      </c>
      <c r="P502" s="3" t="str">
        <f t="shared" si="69"/>
        <v/>
      </c>
      <c r="Q502" s="3">
        <f t="shared" si="70"/>
        <v>0</v>
      </c>
    </row>
    <row r="503" spans="1:17">
      <c r="B503" s="1"/>
    </row>
    <row r="504" spans="1:17">
      <c r="H504" s="4" t="str">
        <f>"Total Sales = ₹" &amp; TEXT(SUM(H2:H502), "#,##0.00")</f>
        <v>Total Sales = ₹5,685,144.35</v>
      </c>
    </row>
    <row r="505" spans="1:17">
      <c r="H505" s="4"/>
    </row>
    <row r="506" spans="1:17">
      <c r="H506" s="4" t="str">
        <f>"Minimum Sales = ₹" &amp; TEXT(MIN(H2:H502), "#,##0.00")</f>
        <v>Minimum Sales = ₹74.06</v>
      </c>
    </row>
    <row r="507" spans="1:17">
      <c r="H507" s="4"/>
    </row>
    <row r="508" spans="1:17">
      <c r="H508" s="4" t="str">
        <f>"Maximum Sales = ₹" &amp; TEXT(MAX(H2:H502), "#,##0.00")</f>
        <v>Maximum Sales = ₹39,459.40</v>
      </c>
    </row>
    <row r="509" spans="1:17">
      <c r="H509" s="4"/>
    </row>
    <row r="510" spans="1:17">
      <c r="H510" s="4" t="str">
        <f>"Average Sales = ₹" &amp; TEXT(ROUND(AVERAGE(H2:H502),2),"#,##0.00")</f>
        <v>Average Sales = ₹11,370.29</v>
      </c>
    </row>
  </sheetData>
  <conditionalFormatting sqref="F2:F502">
    <cfRule type="expression" dxfId="14" priority="2">
      <formula>$F2&gt;15</formula>
    </cfRule>
  </conditionalFormatting>
  <conditionalFormatting sqref="A2:Q502">
    <cfRule type="expression" dxfId="13" priority="1">
      <formula>$F2&gt;15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2025-09-26T04:35:16Z</dcterms:created>
  <dcterms:modified xsi:type="dcterms:W3CDTF">2025-10-14T07:27:26Z</dcterms:modified>
  <cp:category/>
  <cp:contentStatus/>
</cp:coreProperties>
</file>