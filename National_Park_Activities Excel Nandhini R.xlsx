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 defaultThemeVersion="124226"/>
  <xr:revisionPtr revIDLastSave="0" documentId="8_{3062E3D2-AB0B-42D9-889B-4B0B865592D1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Activity_Data" sheetId="1" r:id="rId1"/>
    <sheet name="Summary_Rep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C15" i="2"/>
  <c r="C8" i="2"/>
  <c r="B2" i="2"/>
  <c r="E50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J50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H506" i="1"/>
  <c r="F510" i="1"/>
  <c r="F508" i="1"/>
  <c r="F50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</calcChain>
</file>

<file path=xl/sharedStrings.xml><?xml version="1.0" encoding="utf-8"?>
<sst xmlns="http://schemas.openxmlformats.org/spreadsheetml/2006/main" count="2526" uniqueCount="152">
  <si>
    <t>Visitor_ID</t>
  </si>
  <si>
    <t>Visitor_Name</t>
  </si>
  <si>
    <t>Park_Name</t>
  </si>
  <si>
    <t>Activity_Type</t>
  </si>
  <si>
    <t>Date</t>
  </si>
  <si>
    <t>Duration (mins)</t>
  </si>
  <si>
    <t>Weather</t>
  </si>
  <si>
    <t>Rating</t>
  </si>
  <si>
    <t>Entry_Fee (₹)</t>
  </si>
  <si>
    <t>Comments</t>
  </si>
  <si>
    <t>Rating Levell</t>
  </si>
  <si>
    <t>Round of Entry fee</t>
  </si>
  <si>
    <t>Duration Category</t>
  </si>
  <si>
    <t>3letter of Activity_type</t>
  </si>
  <si>
    <t>Upper Case Park name</t>
  </si>
  <si>
    <t>Propercase Comments</t>
  </si>
  <si>
    <t>Len of Visitor Name</t>
  </si>
  <si>
    <t>Rahul Mehta</t>
  </si>
  <si>
    <t>Sundarbans</t>
  </si>
  <si>
    <t>Photography</t>
  </si>
  <si>
    <t>Windy</t>
  </si>
  <si>
    <t>Too crowded</t>
  </si>
  <si>
    <t>Rahul Patel</t>
  </si>
  <si>
    <t>Bandhavgarh</t>
  </si>
  <si>
    <t>Safari</t>
  </si>
  <si>
    <t>Sunny</t>
  </si>
  <si>
    <t>Excellent wildlife view</t>
  </si>
  <si>
    <t>Priya Nair</t>
  </si>
  <si>
    <t>Periyar</t>
  </si>
  <si>
    <t>Hiking</t>
  </si>
  <si>
    <t>Good guide support</t>
  </si>
  <si>
    <t>Kiran Das</t>
  </si>
  <si>
    <t>No comments</t>
  </si>
  <si>
    <t>Vikram Verma</t>
  </si>
  <si>
    <t>Gir</t>
  </si>
  <si>
    <t>Very enjoyable</t>
  </si>
  <si>
    <t>Sanjay Patel</t>
  </si>
  <si>
    <t>Bird Watching</t>
  </si>
  <si>
    <t>Rainy</t>
  </si>
  <si>
    <t>Priya Menon</t>
  </si>
  <si>
    <t>Aditi Patel</t>
  </si>
  <si>
    <t>Jim Corbett</t>
  </si>
  <si>
    <t>Arjun Das</t>
  </si>
  <si>
    <t>Ranthambore</t>
  </si>
  <si>
    <t>Divya Mehta</t>
  </si>
  <si>
    <t>Kanha</t>
  </si>
  <si>
    <t>Cloudy</t>
  </si>
  <si>
    <t>Kiran Iyer</t>
  </si>
  <si>
    <t>Camping</t>
  </si>
  <si>
    <t>Rahul Verma</t>
  </si>
  <si>
    <t>Saw rare species</t>
  </si>
  <si>
    <t>Arjun Mehta</t>
  </si>
  <si>
    <t>Kaziranga</t>
  </si>
  <si>
    <t>Boating</t>
  </si>
  <si>
    <t>Could be cleaner</t>
  </si>
  <si>
    <t>Anita Singh</t>
  </si>
  <si>
    <t>Aditi Sharma</t>
  </si>
  <si>
    <t>Sneha Mehta</t>
  </si>
  <si>
    <t>Arjun Iyer</t>
  </si>
  <si>
    <t>Rahul Reddy</t>
  </si>
  <si>
    <t>Arjun Menon</t>
  </si>
  <si>
    <t>Aditi Singh</t>
  </si>
  <si>
    <t>Anita Iyer</t>
  </si>
  <si>
    <t>Sanjay Das</t>
  </si>
  <si>
    <t>Aditi Verma</t>
  </si>
  <si>
    <t>Vikram Patel</t>
  </si>
  <si>
    <t>Amazing experience</t>
  </si>
  <si>
    <t>Divya Menon</t>
  </si>
  <si>
    <t>Average service</t>
  </si>
  <si>
    <t>Arjun Sharma</t>
  </si>
  <si>
    <t>Sanjay Mehta</t>
  </si>
  <si>
    <t>Sneha Singh</t>
  </si>
  <si>
    <t>Anita Nair</t>
  </si>
  <si>
    <t>Peaceful environment</t>
  </si>
  <si>
    <t>Arjun Nair</t>
  </si>
  <si>
    <t>Vikram Menon</t>
  </si>
  <si>
    <t>Kiran Verma</t>
  </si>
  <si>
    <t>Aditi Iyer</t>
  </si>
  <si>
    <t>Rahul Iyer</t>
  </si>
  <si>
    <t>Vikram Iyer</t>
  </si>
  <si>
    <t>Rahul Sharma</t>
  </si>
  <si>
    <t>Arjun Reddy</t>
  </si>
  <si>
    <t>Vikram Nair</t>
  </si>
  <si>
    <t>Priya Singh</t>
  </si>
  <si>
    <t>Sanjay Menon</t>
  </si>
  <si>
    <t>Rahul Das</t>
  </si>
  <si>
    <t>Aditi Nair</t>
  </si>
  <si>
    <t>Kiran Nair</t>
  </si>
  <si>
    <t>Vikram Sharma</t>
  </si>
  <si>
    <t>Kiran Singh</t>
  </si>
  <si>
    <t>Sanjay Reddy</t>
  </si>
  <si>
    <t>Sanjay Sharma</t>
  </si>
  <si>
    <t>Aditi Reddy</t>
  </si>
  <si>
    <t>Anita Mehta</t>
  </si>
  <si>
    <t>Anita Das</t>
  </si>
  <si>
    <t>Arjun Singh</t>
  </si>
  <si>
    <t>Rahul Nair</t>
  </si>
  <si>
    <t>Sneha Verma</t>
  </si>
  <si>
    <t>Sanjay Nair</t>
  </si>
  <si>
    <t>Anita Patel</t>
  </si>
  <si>
    <t>Arjun Patel</t>
  </si>
  <si>
    <t>Anita Menon</t>
  </si>
  <si>
    <t>Sanjay Singh</t>
  </si>
  <si>
    <t>Sneha Reddy</t>
  </si>
  <si>
    <t>Kiran Menon</t>
  </si>
  <si>
    <t>Kiran Sharma</t>
  </si>
  <si>
    <t>Anita Sharma</t>
  </si>
  <si>
    <t>Sneha Menon</t>
  </si>
  <si>
    <t>Sneha Nair</t>
  </si>
  <si>
    <t>Rahul Singh</t>
  </si>
  <si>
    <t>Rahul Menon</t>
  </si>
  <si>
    <t>Anita Reddy</t>
  </si>
  <si>
    <t>Priya Sharma</t>
  </si>
  <si>
    <t>Priya Mehta</t>
  </si>
  <si>
    <t>Aditi Mehta</t>
  </si>
  <si>
    <t>Divya Iyer</t>
  </si>
  <si>
    <t>Kiran Patel</t>
  </si>
  <si>
    <t>Divya Verma</t>
  </si>
  <si>
    <t>Vikram Reddy</t>
  </si>
  <si>
    <t>Priya Iyer</t>
  </si>
  <si>
    <t>Divya Sharma</t>
  </si>
  <si>
    <t>Divya Nair</t>
  </si>
  <si>
    <t>Sneha Sharma</t>
  </si>
  <si>
    <t>Priya Patel</t>
  </si>
  <si>
    <t>Sneha Patel</t>
  </si>
  <si>
    <t>Divya Reddy</t>
  </si>
  <si>
    <t>Priya Das</t>
  </si>
  <si>
    <t>Sneha Iyer</t>
  </si>
  <si>
    <t>Kiran Mehta</t>
  </si>
  <si>
    <t>Vikram Singh</t>
  </si>
  <si>
    <t>Sneha Das</t>
  </si>
  <si>
    <t>Arjun Verma</t>
  </si>
  <si>
    <t>Sanjay Verma</t>
  </si>
  <si>
    <t>Vikram Mehta</t>
  </si>
  <si>
    <t>Priya Verma</t>
  </si>
  <si>
    <t>Anita Verma</t>
  </si>
  <si>
    <t>Kiran Reddy</t>
  </si>
  <si>
    <t>Divya Patel</t>
  </si>
  <si>
    <t>Divya Singh</t>
  </si>
  <si>
    <t>Aditi Das</t>
  </si>
  <si>
    <t>Priya Reddy</t>
  </si>
  <si>
    <t>Sanjay Iyer</t>
  </si>
  <si>
    <t>Aditi Menon</t>
  </si>
  <si>
    <t>Vikram Das</t>
  </si>
  <si>
    <t>Divya Das</t>
  </si>
  <si>
    <t>VLOOK UP</t>
  </si>
  <si>
    <t>Index+Mtch</t>
  </si>
  <si>
    <t>Visitor ID</t>
  </si>
  <si>
    <t>Duration</t>
  </si>
  <si>
    <t>HLOOKUP</t>
  </si>
  <si>
    <t>Index</t>
  </si>
  <si>
    <t>Activity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</si>
</sst>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12943-A818-4A02-B121-76187B024E34}" name="Table1" displayName="Table1" ref="A1:Q501" totalsRowShown="0" headerRowDxfId="12" headerRowBorderDxfId="10" tableBorderDxfId="11">
  <autoFilter ref="A1:Q501" xr:uid="{63012943-A818-4A02-B121-76187B024E34}"/>
  <tableColumns count="17">
    <tableColumn id="1" xr3:uid="{E2EE8D30-A5E8-46E4-87C9-E5272F86CD75}" name="Visitor_ID"/>
    <tableColumn id="2" xr3:uid="{90983C10-EB68-48B7-8E40-773312B99859}" name="Visitor_Name"/>
    <tableColumn id="3" xr3:uid="{21711489-C5B0-4583-BB5B-2C1D6BBAD883}" name="Park_Name"/>
    <tableColumn id="4" xr3:uid="{2B404A2A-87CF-4A22-82D0-5D849A3C5E11}" name="Activity_Type"/>
    <tableColumn id="5" xr3:uid="{8023CD75-4481-454B-BB5F-D9C77FAA630E}" name="Date" dataDxfId="9"/>
    <tableColumn id="6" xr3:uid="{10FA4648-91EE-40F5-B808-FBA198209655}" name="Duration (mins)"/>
    <tableColumn id="7" xr3:uid="{318BBBC4-93CC-4B38-8E26-7B724CEB9EA7}" name="Weather"/>
    <tableColumn id="8" xr3:uid="{136D8CA4-F77C-4C46-A768-EFD55030FD75}" name="Rating"/>
    <tableColumn id="9" xr3:uid="{C30001E3-B497-4F6B-A608-29C2CC9218BB}" name="Entry_Fee (₹)"/>
    <tableColumn id="10" xr3:uid="{6BF0BA0C-D0B5-42A5-9A17-1CD0BB775C89}" name="Comments"/>
    <tableColumn id="11" xr3:uid="{88738DE0-25F6-4475-AC61-BFEE0FC51348}" name="Rating Levell" dataDxfId="8">
      <calculatedColumnFormula>IF(H2&gt;4,"Good",IF(H2&gt;=3,"Neutral","Bad"))</calculatedColumnFormula>
    </tableColumn>
    <tableColumn id="12" xr3:uid="{526DE347-5AFF-491A-B097-82FA5EA4D637}" name="Round of Entry fee" dataDxfId="7">
      <calculatedColumnFormula>ROUND(I2,0)</calculatedColumnFormula>
    </tableColumn>
    <tableColumn id="13" xr3:uid="{8CE41509-95A6-44D0-ACB7-BFA6C6B5AB68}" name="Duration Category" dataDxfId="6">
      <calculatedColumnFormula>IF(F2&lt;30,"Short",IF(F2&lt;90,"Medium",IF(F2&lt;180,"Long","Very Long")))</calculatedColumnFormula>
    </tableColumn>
    <tableColumn id="14" xr3:uid="{F52ECDF6-3948-4851-8650-1117429571E6}" name="3letter of Activity_type" dataDxfId="5">
      <calculatedColumnFormula>LEFT(D2,3)</calculatedColumnFormula>
    </tableColumn>
    <tableColumn id="15" xr3:uid="{AF1D9E70-4767-4085-99CC-60FA3A4CBFBE}" name="Upper Case Park name" dataDxfId="4">
      <calculatedColumnFormula>UPPER(C2)</calculatedColumnFormula>
    </tableColumn>
    <tableColumn id="16" xr3:uid="{36A859B4-1E55-44D6-9A23-4836E6A9AFFF}" name="Propercase Comments" dataDxfId="3">
      <calculatedColumnFormula>PROPER(J2)</calculatedColumnFormula>
    </tableColumn>
    <tableColumn id="17" xr3:uid="{66AC5714-B110-4CC4-A493-03163D9DBC87}" name="Len of Visitor Name" dataDxfId="2">
      <calculatedColumnFormula>LEN(B2)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workbookViewId="0">
      <pane ySplit="1" topLeftCell="A11" activePane="bottomLeft" state="frozen"/>
      <selection pane="bottomLeft" activeCell="B24" sqref="B24"/>
    </sheetView>
  </sheetViews>
  <sheetFormatPr defaultRowHeight="15"/>
  <cols>
    <col min="1" max="1" width="12" bestFit="1" customWidth="1"/>
    <col min="2" max="2" width="15.28515625" bestFit="1" customWidth="1"/>
    <col min="3" max="3" width="16" customWidth="1"/>
    <col min="4" max="4" width="17.42578125" customWidth="1"/>
    <col min="5" max="5" width="25.5703125" customWidth="1"/>
    <col min="6" max="6" width="33.7109375" bestFit="1" customWidth="1"/>
    <col min="7" max="7" width="11" bestFit="1" customWidth="1"/>
    <col min="8" max="8" width="17.5703125" customWidth="1"/>
    <col min="9" max="9" width="22.7109375" bestFit="1" customWidth="1"/>
    <col min="10" max="10" width="23.5703125" customWidth="1"/>
    <col min="11" max="11" width="15.5703125" customWidth="1"/>
    <col min="12" max="12" width="19.7109375" bestFit="1" customWidth="1"/>
    <col min="13" max="13" width="19.42578125" bestFit="1" customWidth="1"/>
    <col min="14" max="14" width="23.7109375" bestFit="1" customWidth="1"/>
    <col min="15" max="15" width="23.28515625" bestFit="1" customWidth="1"/>
    <col min="16" max="16" width="23.140625" bestFit="1" customWidth="1"/>
    <col min="17" max="17" width="20.71093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0.75">
      <c r="A2">
        <v>1001</v>
      </c>
      <c r="B2" t="s">
        <v>17</v>
      </c>
      <c r="C2" t="s">
        <v>18</v>
      </c>
      <c r="D2" t="s">
        <v>19</v>
      </c>
      <c r="E2" s="1">
        <v>45407</v>
      </c>
      <c r="F2">
        <v>33</v>
      </c>
      <c r="G2" t="s">
        <v>20</v>
      </c>
      <c r="H2">
        <v>3.9</v>
      </c>
      <c r="I2">
        <v>109</v>
      </c>
      <c r="J2" t="s">
        <v>21</v>
      </c>
      <c r="K2" s="3" t="str">
        <f t="shared" ref="K2:K65" si="0">IF(H2&gt;4,"Good",IF(H2&gt;=3,"Neutral","Bad"))</f>
        <v>Neutral</v>
      </c>
      <c r="L2">
        <f t="shared" ref="L2:L65" si="1">ROUND(I2,0)</f>
        <v>109</v>
      </c>
      <c r="M2" t="str">
        <f>IF(F2&lt;30,"Short",IF(F2&lt;90,"Medium",IF(F2&lt;180,"Long","Very Long")))</f>
        <v>Medium</v>
      </c>
      <c r="N2" s="4" t="str">
        <f t="shared" ref="N2:N65" si="2">LEFT(D2,3)</f>
        <v>Pho</v>
      </c>
      <c r="O2" s="4" t="str">
        <f t="shared" ref="O2:O65" si="3">UPPER(C2)</f>
        <v>SUNDARBANS</v>
      </c>
      <c r="P2" s="4" t="str">
        <f t="shared" ref="P2:P65" si="4">PROPER(J2)</f>
        <v>Too Crowded</v>
      </c>
      <c r="Q2" s="4">
        <f t="shared" ref="Q2:Q65" si="5">LEN(B2)</f>
        <v>11</v>
      </c>
    </row>
    <row r="3" spans="1:17">
      <c r="A3">
        <v>1002</v>
      </c>
      <c r="B3" t="s">
        <v>22</v>
      </c>
      <c r="C3" t="s">
        <v>23</v>
      </c>
      <c r="D3" t="s">
        <v>24</v>
      </c>
      <c r="E3" s="1">
        <v>45442</v>
      </c>
      <c r="F3">
        <v>171</v>
      </c>
      <c r="G3" t="s">
        <v>25</v>
      </c>
      <c r="H3">
        <v>4.5999999999999996</v>
      </c>
      <c r="I3">
        <v>362</v>
      </c>
      <c r="J3" t="s">
        <v>26</v>
      </c>
      <c r="K3" t="str">
        <f t="shared" si="0"/>
        <v>Good</v>
      </c>
      <c r="L3">
        <f t="shared" si="1"/>
        <v>362</v>
      </c>
      <c r="M3" t="str">
        <f t="shared" ref="M2:M65" si="6">IF(F3&lt;30,"Short",IF(F3&lt;90,"Medium",IF(F3&lt;180,"Long","Very Long")))</f>
        <v>Long</v>
      </c>
      <c r="N3" s="4" t="str">
        <f t="shared" si="2"/>
        <v>Saf</v>
      </c>
      <c r="O3" s="4" t="str">
        <f t="shared" si="3"/>
        <v>BANDHAVGARH</v>
      </c>
      <c r="P3" s="4" t="str">
        <f t="shared" si="4"/>
        <v>Excellent Wildlife View</v>
      </c>
      <c r="Q3" s="4">
        <f t="shared" si="5"/>
        <v>11</v>
      </c>
    </row>
    <row r="4" spans="1:17">
      <c r="A4">
        <v>1003</v>
      </c>
      <c r="B4" t="s">
        <v>27</v>
      </c>
      <c r="C4" t="s">
        <v>28</v>
      </c>
      <c r="D4" t="s">
        <v>29</v>
      </c>
      <c r="E4" s="1">
        <v>45388</v>
      </c>
      <c r="F4">
        <v>197</v>
      </c>
      <c r="G4" t="s">
        <v>20</v>
      </c>
      <c r="H4">
        <v>4.5999999999999996</v>
      </c>
      <c r="I4">
        <v>224</v>
      </c>
      <c r="J4" t="s">
        <v>30</v>
      </c>
      <c r="K4" t="str">
        <f t="shared" si="0"/>
        <v>Good</v>
      </c>
      <c r="L4">
        <f t="shared" si="1"/>
        <v>224</v>
      </c>
      <c r="M4" t="str">
        <f t="shared" si="6"/>
        <v>Very Long</v>
      </c>
      <c r="N4" s="4" t="str">
        <f t="shared" si="2"/>
        <v>Hik</v>
      </c>
      <c r="O4" s="4" t="str">
        <f t="shared" si="3"/>
        <v>PERIYAR</v>
      </c>
      <c r="P4" s="4" t="str">
        <f t="shared" si="4"/>
        <v>Good Guide Support</v>
      </c>
      <c r="Q4" s="4">
        <f t="shared" si="5"/>
        <v>10</v>
      </c>
    </row>
    <row r="5" spans="1:17">
      <c r="A5">
        <v>1004</v>
      </c>
      <c r="B5" t="s">
        <v>31</v>
      </c>
      <c r="C5" t="s">
        <v>23</v>
      </c>
      <c r="D5" t="s">
        <v>29</v>
      </c>
      <c r="E5" s="1">
        <v>45436</v>
      </c>
      <c r="F5">
        <v>64</v>
      </c>
      <c r="G5" t="s">
        <v>20</v>
      </c>
      <c r="H5">
        <v>4.5999999999999996</v>
      </c>
      <c r="I5">
        <v>270</v>
      </c>
      <c r="J5" t="s">
        <v>32</v>
      </c>
      <c r="K5" t="str">
        <f t="shared" si="0"/>
        <v>Good</v>
      </c>
      <c r="L5">
        <f t="shared" si="1"/>
        <v>270</v>
      </c>
      <c r="M5" t="str">
        <f t="shared" si="6"/>
        <v>Medium</v>
      </c>
      <c r="N5" s="4" t="str">
        <f t="shared" si="2"/>
        <v>Hik</v>
      </c>
      <c r="O5" s="4" t="str">
        <f t="shared" si="3"/>
        <v>BANDHAVGARH</v>
      </c>
      <c r="P5" s="4" t="str">
        <f t="shared" si="4"/>
        <v>No Comments</v>
      </c>
      <c r="Q5" s="4">
        <f t="shared" si="5"/>
        <v>9</v>
      </c>
    </row>
    <row r="6" spans="1:17">
      <c r="A6">
        <v>1005</v>
      </c>
      <c r="B6" t="s">
        <v>33</v>
      </c>
      <c r="C6" t="s">
        <v>34</v>
      </c>
      <c r="D6" t="s">
        <v>19</v>
      </c>
      <c r="E6" s="1">
        <v>45377</v>
      </c>
      <c r="F6">
        <v>221</v>
      </c>
      <c r="G6" t="s">
        <v>25</v>
      </c>
      <c r="H6">
        <v>4.2</v>
      </c>
      <c r="I6">
        <v>232</v>
      </c>
      <c r="J6" t="s">
        <v>35</v>
      </c>
      <c r="K6" t="str">
        <f t="shared" si="0"/>
        <v>Good</v>
      </c>
      <c r="L6">
        <f t="shared" si="1"/>
        <v>232</v>
      </c>
      <c r="M6" t="str">
        <f t="shared" si="6"/>
        <v>Very Long</v>
      </c>
      <c r="N6" s="4" t="str">
        <f t="shared" si="2"/>
        <v>Pho</v>
      </c>
      <c r="O6" s="4" t="str">
        <f t="shared" si="3"/>
        <v>GIR</v>
      </c>
      <c r="P6" s="4" t="str">
        <f t="shared" si="4"/>
        <v>Very Enjoyable</v>
      </c>
      <c r="Q6" s="4">
        <f t="shared" si="5"/>
        <v>12</v>
      </c>
    </row>
    <row r="7" spans="1:17">
      <c r="A7">
        <v>1006</v>
      </c>
      <c r="B7" t="s">
        <v>36</v>
      </c>
      <c r="C7" t="s">
        <v>28</v>
      </c>
      <c r="D7" t="s">
        <v>37</v>
      </c>
      <c r="E7" s="1">
        <v>45654</v>
      </c>
      <c r="F7">
        <v>85</v>
      </c>
      <c r="G7" t="s">
        <v>38</v>
      </c>
      <c r="H7">
        <v>4.0999999999999996</v>
      </c>
      <c r="I7">
        <v>125</v>
      </c>
      <c r="J7" t="s">
        <v>35</v>
      </c>
      <c r="K7" t="str">
        <f t="shared" si="0"/>
        <v>Good</v>
      </c>
      <c r="L7">
        <f t="shared" si="1"/>
        <v>125</v>
      </c>
      <c r="M7" t="str">
        <f t="shared" si="6"/>
        <v>Medium</v>
      </c>
      <c r="N7" s="4" t="str">
        <f t="shared" si="2"/>
        <v>Bir</v>
      </c>
      <c r="O7" s="4" t="str">
        <f t="shared" si="3"/>
        <v>PERIYAR</v>
      </c>
      <c r="P7" s="4" t="str">
        <f t="shared" si="4"/>
        <v>Very Enjoyable</v>
      </c>
      <c r="Q7" s="4">
        <f t="shared" si="5"/>
        <v>12</v>
      </c>
    </row>
    <row r="8" spans="1:17">
      <c r="A8">
        <v>1007</v>
      </c>
      <c r="B8" t="s">
        <v>39</v>
      </c>
      <c r="C8" t="s">
        <v>34</v>
      </c>
      <c r="D8" t="s">
        <v>37</v>
      </c>
      <c r="E8" s="1">
        <v>45394</v>
      </c>
      <c r="F8">
        <v>181</v>
      </c>
      <c r="G8" t="s">
        <v>20</v>
      </c>
      <c r="H8">
        <v>4.3</v>
      </c>
      <c r="I8">
        <v>212</v>
      </c>
      <c r="J8" t="s">
        <v>21</v>
      </c>
      <c r="K8" t="str">
        <f t="shared" si="0"/>
        <v>Good</v>
      </c>
      <c r="L8">
        <f t="shared" si="1"/>
        <v>212</v>
      </c>
      <c r="M8" t="str">
        <f t="shared" si="6"/>
        <v>Very Long</v>
      </c>
      <c r="N8" s="4" t="str">
        <f t="shared" si="2"/>
        <v>Bir</v>
      </c>
      <c r="O8" s="4" t="str">
        <f t="shared" si="3"/>
        <v>GIR</v>
      </c>
      <c r="P8" s="4" t="str">
        <f t="shared" si="4"/>
        <v>Too Crowded</v>
      </c>
      <c r="Q8" s="4">
        <f t="shared" si="5"/>
        <v>11</v>
      </c>
    </row>
    <row r="9" spans="1:17">
      <c r="A9">
        <v>1008</v>
      </c>
      <c r="B9" t="s">
        <v>40</v>
      </c>
      <c r="C9" t="s">
        <v>41</v>
      </c>
      <c r="D9" t="s">
        <v>37</v>
      </c>
      <c r="E9" s="1">
        <v>45329</v>
      </c>
      <c r="F9">
        <v>160</v>
      </c>
      <c r="G9" t="s">
        <v>25</v>
      </c>
      <c r="H9">
        <v>3.8</v>
      </c>
      <c r="I9">
        <v>249</v>
      </c>
      <c r="J9" t="s">
        <v>26</v>
      </c>
      <c r="K9" t="str">
        <f t="shared" si="0"/>
        <v>Neutral</v>
      </c>
      <c r="L9">
        <f t="shared" si="1"/>
        <v>249</v>
      </c>
      <c r="M9" t="str">
        <f t="shared" si="6"/>
        <v>Long</v>
      </c>
      <c r="N9" s="4" t="str">
        <f t="shared" si="2"/>
        <v>Bir</v>
      </c>
      <c r="O9" s="4" t="str">
        <f t="shared" si="3"/>
        <v>JIM CORBETT</v>
      </c>
      <c r="P9" s="4" t="str">
        <f t="shared" si="4"/>
        <v>Excellent Wildlife View</v>
      </c>
      <c r="Q9" s="4">
        <f t="shared" si="5"/>
        <v>11</v>
      </c>
    </row>
    <row r="10" spans="1:17">
      <c r="A10">
        <v>1009</v>
      </c>
      <c r="B10" t="s">
        <v>42</v>
      </c>
      <c r="C10" t="s">
        <v>43</v>
      </c>
      <c r="D10" t="s">
        <v>19</v>
      </c>
      <c r="E10" s="1">
        <v>45577</v>
      </c>
      <c r="F10">
        <v>231</v>
      </c>
      <c r="G10" t="s">
        <v>25</v>
      </c>
      <c r="H10">
        <v>2.7</v>
      </c>
      <c r="I10">
        <v>447</v>
      </c>
      <c r="J10" t="s">
        <v>30</v>
      </c>
      <c r="K10" t="str">
        <f t="shared" si="0"/>
        <v>Bad</v>
      </c>
      <c r="L10">
        <f t="shared" si="1"/>
        <v>447</v>
      </c>
      <c r="M10" t="str">
        <f t="shared" si="6"/>
        <v>Very Long</v>
      </c>
      <c r="N10" s="4" t="str">
        <f t="shared" si="2"/>
        <v>Pho</v>
      </c>
      <c r="O10" s="4" t="str">
        <f t="shared" si="3"/>
        <v>RANTHAMBORE</v>
      </c>
      <c r="P10" s="4" t="str">
        <f t="shared" si="4"/>
        <v>Good Guide Support</v>
      </c>
      <c r="Q10" s="4">
        <f t="shared" si="5"/>
        <v>9</v>
      </c>
    </row>
    <row r="11" spans="1:17">
      <c r="A11">
        <v>1010</v>
      </c>
      <c r="B11" t="s">
        <v>44</v>
      </c>
      <c r="C11" t="s">
        <v>45</v>
      </c>
      <c r="D11" t="s">
        <v>24</v>
      </c>
      <c r="E11" s="1">
        <v>45601</v>
      </c>
      <c r="F11">
        <v>116</v>
      </c>
      <c r="G11" t="s">
        <v>46</v>
      </c>
      <c r="H11">
        <v>4.4000000000000004</v>
      </c>
      <c r="I11">
        <v>402</v>
      </c>
      <c r="J11" t="s">
        <v>21</v>
      </c>
      <c r="K11" t="str">
        <f t="shared" si="0"/>
        <v>Good</v>
      </c>
      <c r="L11">
        <f t="shared" si="1"/>
        <v>402</v>
      </c>
      <c r="M11" t="str">
        <f t="shared" si="6"/>
        <v>Long</v>
      </c>
      <c r="N11" s="4" t="str">
        <f t="shared" si="2"/>
        <v>Saf</v>
      </c>
      <c r="O11" s="4" t="str">
        <f t="shared" si="3"/>
        <v>KANHA</v>
      </c>
      <c r="P11" s="4" t="str">
        <f t="shared" si="4"/>
        <v>Too Crowded</v>
      </c>
      <c r="Q11" s="4">
        <f t="shared" si="5"/>
        <v>11</v>
      </c>
    </row>
    <row r="12" spans="1:17">
      <c r="A12">
        <v>1011</v>
      </c>
      <c r="B12" t="s">
        <v>47</v>
      </c>
      <c r="C12" t="s">
        <v>23</v>
      </c>
      <c r="D12" t="s">
        <v>48</v>
      </c>
      <c r="E12" s="1">
        <v>45496</v>
      </c>
      <c r="F12">
        <v>191</v>
      </c>
      <c r="G12" t="s">
        <v>38</v>
      </c>
      <c r="H12">
        <v>4.7</v>
      </c>
      <c r="I12">
        <v>137</v>
      </c>
      <c r="J12" t="s">
        <v>26</v>
      </c>
      <c r="K12" t="str">
        <f t="shared" si="0"/>
        <v>Good</v>
      </c>
      <c r="L12">
        <f t="shared" si="1"/>
        <v>137</v>
      </c>
      <c r="M12" t="str">
        <f t="shared" si="6"/>
        <v>Very Long</v>
      </c>
      <c r="N12" s="4" t="str">
        <f t="shared" si="2"/>
        <v>Cam</v>
      </c>
      <c r="O12" s="4" t="str">
        <f t="shared" si="3"/>
        <v>BANDHAVGARH</v>
      </c>
      <c r="P12" s="4" t="str">
        <f t="shared" si="4"/>
        <v>Excellent Wildlife View</v>
      </c>
      <c r="Q12" s="4">
        <f t="shared" si="5"/>
        <v>10</v>
      </c>
    </row>
    <row r="13" spans="1:17">
      <c r="A13">
        <v>1012</v>
      </c>
      <c r="B13" t="s">
        <v>49</v>
      </c>
      <c r="C13" t="s">
        <v>23</v>
      </c>
      <c r="D13" t="s">
        <v>37</v>
      </c>
      <c r="E13" s="1">
        <v>45648</v>
      </c>
      <c r="F13">
        <v>223</v>
      </c>
      <c r="G13" t="s">
        <v>46</v>
      </c>
      <c r="H13">
        <v>3.6</v>
      </c>
      <c r="I13">
        <v>496</v>
      </c>
      <c r="J13" t="s">
        <v>50</v>
      </c>
      <c r="K13" t="str">
        <f t="shared" si="0"/>
        <v>Neutral</v>
      </c>
      <c r="L13">
        <f t="shared" si="1"/>
        <v>496</v>
      </c>
      <c r="M13" t="str">
        <f t="shared" si="6"/>
        <v>Very Long</v>
      </c>
      <c r="N13" s="4" t="str">
        <f t="shared" si="2"/>
        <v>Bir</v>
      </c>
      <c r="O13" s="4" t="str">
        <f t="shared" si="3"/>
        <v>BANDHAVGARH</v>
      </c>
      <c r="P13" s="4" t="str">
        <f t="shared" si="4"/>
        <v>Saw Rare Species</v>
      </c>
      <c r="Q13" s="4">
        <f t="shared" si="5"/>
        <v>11</v>
      </c>
    </row>
    <row r="14" spans="1:17">
      <c r="A14">
        <v>1013</v>
      </c>
      <c r="B14" t="s">
        <v>51</v>
      </c>
      <c r="C14" t="s">
        <v>52</v>
      </c>
      <c r="D14" t="s">
        <v>53</v>
      </c>
      <c r="E14" s="1">
        <v>45491</v>
      </c>
      <c r="F14">
        <v>199</v>
      </c>
      <c r="G14" t="s">
        <v>38</v>
      </c>
      <c r="H14">
        <v>3.3</v>
      </c>
      <c r="I14">
        <v>229</v>
      </c>
      <c r="J14" t="s">
        <v>54</v>
      </c>
      <c r="K14" t="str">
        <f t="shared" si="0"/>
        <v>Neutral</v>
      </c>
      <c r="L14">
        <f t="shared" si="1"/>
        <v>229</v>
      </c>
      <c r="M14" t="str">
        <f t="shared" si="6"/>
        <v>Very Long</v>
      </c>
      <c r="N14" s="4" t="str">
        <f t="shared" si="2"/>
        <v>Boa</v>
      </c>
      <c r="O14" s="4" t="str">
        <f t="shared" si="3"/>
        <v>KAZIRANGA</v>
      </c>
      <c r="P14" s="4" t="str">
        <f t="shared" si="4"/>
        <v>Could Be Cleaner</v>
      </c>
      <c r="Q14" s="4">
        <f t="shared" si="5"/>
        <v>11</v>
      </c>
    </row>
    <row r="15" spans="1:17">
      <c r="A15">
        <v>1014</v>
      </c>
      <c r="B15" t="s">
        <v>55</v>
      </c>
      <c r="C15" t="s">
        <v>28</v>
      </c>
      <c r="D15" t="s">
        <v>53</v>
      </c>
      <c r="E15" s="1">
        <v>45627</v>
      </c>
      <c r="F15">
        <v>92</v>
      </c>
      <c r="G15" t="s">
        <v>38</v>
      </c>
      <c r="H15">
        <v>3.3</v>
      </c>
      <c r="I15">
        <v>284</v>
      </c>
      <c r="J15" t="s">
        <v>35</v>
      </c>
      <c r="K15" t="str">
        <f t="shared" si="0"/>
        <v>Neutral</v>
      </c>
      <c r="L15">
        <f t="shared" si="1"/>
        <v>284</v>
      </c>
      <c r="M15" t="str">
        <f t="shared" si="6"/>
        <v>Long</v>
      </c>
      <c r="N15" s="4" t="str">
        <f t="shared" si="2"/>
        <v>Boa</v>
      </c>
      <c r="O15" s="4" t="str">
        <f t="shared" si="3"/>
        <v>PERIYAR</v>
      </c>
      <c r="P15" s="4" t="str">
        <f t="shared" si="4"/>
        <v>Very Enjoyable</v>
      </c>
      <c r="Q15" s="4">
        <f t="shared" si="5"/>
        <v>11</v>
      </c>
    </row>
    <row r="16" spans="1:17">
      <c r="A16">
        <v>1015</v>
      </c>
      <c r="B16" t="s">
        <v>56</v>
      </c>
      <c r="C16" t="s">
        <v>34</v>
      </c>
      <c r="D16" t="s">
        <v>29</v>
      </c>
      <c r="E16" s="1">
        <v>45487</v>
      </c>
      <c r="F16">
        <v>198</v>
      </c>
      <c r="G16" t="s">
        <v>38</v>
      </c>
      <c r="H16">
        <v>2.7</v>
      </c>
      <c r="I16">
        <v>311</v>
      </c>
      <c r="J16" t="s">
        <v>30</v>
      </c>
      <c r="K16" t="str">
        <f t="shared" si="0"/>
        <v>Bad</v>
      </c>
      <c r="L16">
        <f t="shared" si="1"/>
        <v>311</v>
      </c>
      <c r="M16" t="str">
        <f t="shared" si="6"/>
        <v>Very Long</v>
      </c>
      <c r="N16" s="4" t="str">
        <f t="shared" si="2"/>
        <v>Hik</v>
      </c>
      <c r="O16" s="4" t="str">
        <f t="shared" si="3"/>
        <v>GIR</v>
      </c>
      <c r="P16" s="4" t="str">
        <f t="shared" si="4"/>
        <v>Good Guide Support</v>
      </c>
      <c r="Q16" s="4">
        <f t="shared" si="5"/>
        <v>12</v>
      </c>
    </row>
    <row r="17" spans="1:17">
      <c r="A17">
        <v>1016</v>
      </c>
      <c r="B17" t="s">
        <v>57</v>
      </c>
      <c r="C17" t="s">
        <v>18</v>
      </c>
      <c r="D17" t="s">
        <v>53</v>
      </c>
      <c r="E17" s="1">
        <v>45423</v>
      </c>
      <c r="F17">
        <v>160</v>
      </c>
      <c r="G17" t="s">
        <v>20</v>
      </c>
      <c r="H17">
        <v>3.1</v>
      </c>
      <c r="I17">
        <v>414</v>
      </c>
      <c r="J17" t="s">
        <v>35</v>
      </c>
      <c r="K17" t="str">
        <f t="shared" si="0"/>
        <v>Neutral</v>
      </c>
      <c r="L17">
        <f t="shared" si="1"/>
        <v>414</v>
      </c>
      <c r="M17" t="str">
        <f t="shared" si="6"/>
        <v>Long</v>
      </c>
      <c r="N17" s="4" t="str">
        <f t="shared" si="2"/>
        <v>Boa</v>
      </c>
      <c r="O17" s="4" t="str">
        <f t="shared" si="3"/>
        <v>SUNDARBANS</v>
      </c>
      <c r="P17" s="4" t="str">
        <f t="shared" si="4"/>
        <v>Very Enjoyable</v>
      </c>
      <c r="Q17" s="4">
        <f t="shared" si="5"/>
        <v>11</v>
      </c>
    </row>
    <row r="18" spans="1:17">
      <c r="A18">
        <v>1017</v>
      </c>
      <c r="B18" t="s">
        <v>58</v>
      </c>
      <c r="C18" t="s">
        <v>41</v>
      </c>
      <c r="D18" t="s">
        <v>24</v>
      </c>
      <c r="E18" s="1">
        <v>45399</v>
      </c>
      <c r="F18">
        <v>207</v>
      </c>
      <c r="G18" t="s">
        <v>38</v>
      </c>
      <c r="H18">
        <v>4.4000000000000004</v>
      </c>
      <c r="I18">
        <v>419</v>
      </c>
      <c r="J18" t="s">
        <v>35</v>
      </c>
      <c r="K18" t="str">
        <f t="shared" si="0"/>
        <v>Good</v>
      </c>
      <c r="L18">
        <f t="shared" si="1"/>
        <v>419</v>
      </c>
      <c r="M18" t="str">
        <f t="shared" si="6"/>
        <v>Very Long</v>
      </c>
      <c r="N18" s="4" t="str">
        <f t="shared" si="2"/>
        <v>Saf</v>
      </c>
      <c r="O18" s="4" t="str">
        <f t="shared" si="3"/>
        <v>JIM CORBETT</v>
      </c>
      <c r="P18" s="4" t="str">
        <f t="shared" si="4"/>
        <v>Very Enjoyable</v>
      </c>
      <c r="Q18" s="4">
        <f t="shared" si="5"/>
        <v>10</v>
      </c>
    </row>
    <row r="19" spans="1:17">
      <c r="A19">
        <v>1018</v>
      </c>
      <c r="B19" t="s">
        <v>59</v>
      </c>
      <c r="C19" t="s">
        <v>28</v>
      </c>
      <c r="D19" t="s">
        <v>53</v>
      </c>
      <c r="E19" s="1">
        <v>45350</v>
      </c>
      <c r="F19">
        <v>197</v>
      </c>
      <c r="G19" t="s">
        <v>20</v>
      </c>
      <c r="H19">
        <v>3.8</v>
      </c>
      <c r="I19">
        <v>387</v>
      </c>
      <c r="J19" t="s">
        <v>30</v>
      </c>
      <c r="K19" t="str">
        <f t="shared" si="0"/>
        <v>Neutral</v>
      </c>
      <c r="L19">
        <f t="shared" si="1"/>
        <v>387</v>
      </c>
      <c r="M19" t="str">
        <f t="shared" si="6"/>
        <v>Very Long</v>
      </c>
      <c r="N19" s="4" t="str">
        <f t="shared" si="2"/>
        <v>Boa</v>
      </c>
      <c r="O19" s="4" t="str">
        <f t="shared" si="3"/>
        <v>PERIYAR</v>
      </c>
      <c r="P19" s="4" t="str">
        <f t="shared" si="4"/>
        <v>Good Guide Support</v>
      </c>
      <c r="Q19" s="4">
        <f t="shared" si="5"/>
        <v>11</v>
      </c>
    </row>
    <row r="20" spans="1:17">
      <c r="A20">
        <v>1019</v>
      </c>
      <c r="B20" t="s">
        <v>60</v>
      </c>
      <c r="C20" t="s">
        <v>28</v>
      </c>
      <c r="D20" t="s">
        <v>24</v>
      </c>
      <c r="E20" s="1">
        <v>45429</v>
      </c>
      <c r="F20">
        <v>102</v>
      </c>
      <c r="G20" t="s">
        <v>46</v>
      </c>
      <c r="H20">
        <v>4.5</v>
      </c>
      <c r="I20">
        <v>163</v>
      </c>
      <c r="J20" t="s">
        <v>50</v>
      </c>
      <c r="K20" t="str">
        <f t="shared" si="0"/>
        <v>Good</v>
      </c>
      <c r="L20">
        <f t="shared" si="1"/>
        <v>163</v>
      </c>
      <c r="M20" t="str">
        <f t="shared" si="6"/>
        <v>Long</v>
      </c>
      <c r="N20" s="4" t="str">
        <f t="shared" si="2"/>
        <v>Saf</v>
      </c>
      <c r="O20" s="4" t="str">
        <f t="shared" si="3"/>
        <v>PERIYAR</v>
      </c>
      <c r="P20" s="4" t="str">
        <f t="shared" si="4"/>
        <v>Saw Rare Species</v>
      </c>
      <c r="Q20" s="4">
        <f t="shared" si="5"/>
        <v>11</v>
      </c>
    </row>
    <row r="21" spans="1:17">
      <c r="A21">
        <v>1020</v>
      </c>
      <c r="B21" t="s">
        <v>61</v>
      </c>
      <c r="C21" t="s">
        <v>18</v>
      </c>
      <c r="D21" t="s">
        <v>19</v>
      </c>
      <c r="E21" s="1">
        <v>45530</v>
      </c>
      <c r="F21">
        <v>223</v>
      </c>
      <c r="G21" t="s">
        <v>46</v>
      </c>
      <c r="H21">
        <v>4.3</v>
      </c>
      <c r="I21">
        <v>460</v>
      </c>
      <c r="J21" t="s">
        <v>30</v>
      </c>
      <c r="K21" t="str">
        <f t="shared" si="0"/>
        <v>Good</v>
      </c>
      <c r="L21">
        <f t="shared" si="1"/>
        <v>460</v>
      </c>
      <c r="M21" t="str">
        <f t="shared" si="6"/>
        <v>Very Long</v>
      </c>
      <c r="N21" s="4" t="str">
        <f t="shared" si="2"/>
        <v>Pho</v>
      </c>
      <c r="O21" s="4" t="str">
        <f t="shared" si="3"/>
        <v>SUNDARBANS</v>
      </c>
      <c r="P21" s="4" t="str">
        <f t="shared" si="4"/>
        <v>Good Guide Support</v>
      </c>
      <c r="Q21" s="4">
        <f t="shared" si="5"/>
        <v>11</v>
      </c>
    </row>
    <row r="22" spans="1:17">
      <c r="A22">
        <v>1021</v>
      </c>
      <c r="B22" t="s">
        <v>62</v>
      </c>
      <c r="C22" t="s">
        <v>28</v>
      </c>
      <c r="D22" t="s">
        <v>37</v>
      </c>
      <c r="E22" s="1">
        <v>45607</v>
      </c>
      <c r="F22">
        <v>240</v>
      </c>
      <c r="G22" t="s">
        <v>46</v>
      </c>
      <c r="H22">
        <v>2.6</v>
      </c>
      <c r="I22">
        <v>230</v>
      </c>
      <c r="J22" t="s">
        <v>32</v>
      </c>
      <c r="K22" t="str">
        <f t="shared" si="0"/>
        <v>Bad</v>
      </c>
      <c r="L22">
        <f t="shared" si="1"/>
        <v>230</v>
      </c>
      <c r="M22" t="str">
        <f t="shared" si="6"/>
        <v>Very Long</v>
      </c>
      <c r="N22" s="4" t="str">
        <f t="shared" si="2"/>
        <v>Bir</v>
      </c>
      <c r="O22" s="4" t="str">
        <f t="shared" si="3"/>
        <v>PERIYAR</v>
      </c>
      <c r="P22" s="4" t="str">
        <f t="shared" si="4"/>
        <v>No Comments</v>
      </c>
      <c r="Q22" s="4">
        <f t="shared" si="5"/>
        <v>10</v>
      </c>
    </row>
    <row r="23" spans="1:17">
      <c r="A23">
        <v>1022</v>
      </c>
      <c r="B23" t="s">
        <v>63</v>
      </c>
      <c r="C23" t="s">
        <v>52</v>
      </c>
      <c r="D23" t="s">
        <v>19</v>
      </c>
      <c r="E23" s="1">
        <v>45337</v>
      </c>
      <c r="F23">
        <v>128</v>
      </c>
      <c r="G23" t="s">
        <v>46</v>
      </c>
      <c r="H23">
        <v>4.0999999999999996</v>
      </c>
      <c r="I23">
        <v>427</v>
      </c>
      <c r="J23" t="s">
        <v>50</v>
      </c>
      <c r="K23" t="str">
        <f t="shared" si="0"/>
        <v>Good</v>
      </c>
      <c r="L23">
        <f t="shared" si="1"/>
        <v>427</v>
      </c>
      <c r="M23" t="str">
        <f t="shared" si="6"/>
        <v>Long</v>
      </c>
      <c r="N23" s="4" t="str">
        <f t="shared" si="2"/>
        <v>Pho</v>
      </c>
      <c r="O23" s="4" t="str">
        <f t="shared" si="3"/>
        <v>KAZIRANGA</v>
      </c>
      <c r="P23" s="4" t="str">
        <f t="shared" si="4"/>
        <v>Saw Rare Species</v>
      </c>
      <c r="Q23" s="4">
        <f t="shared" si="5"/>
        <v>10</v>
      </c>
    </row>
    <row r="24" spans="1:17">
      <c r="A24">
        <v>1023</v>
      </c>
      <c r="B24" t="s">
        <v>33</v>
      </c>
      <c r="C24" t="s">
        <v>41</v>
      </c>
      <c r="D24" t="s">
        <v>29</v>
      </c>
      <c r="E24" s="1">
        <v>45527</v>
      </c>
      <c r="F24">
        <v>162</v>
      </c>
      <c r="G24" t="s">
        <v>20</v>
      </c>
      <c r="H24">
        <v>4.9000000000000004</v>
      </c>
      <c r="I24">
        <v>430</v>
      </c>
      <c r="J24" t="s">
        <v>21</v>
      </c>
      <c r="K24" t="str">
        <f t="shared" si="0"/>
        <v>Good</v>
      </c>
      <c r="L24">
        <f t="shared" si="1"/>
        <v>430</v>
      </c>
      <c r="M24" t="str">
        <f t="shared" si="6"/>
        <v>Long</v>
      </c>
      <c r="N24" s="4" t="str">
        <f t="shared" si="2"/>
        <v>Hik</v>
      </c>
      <c r="O24" s="4" t="str">
        <f t="shared" si="3"/>
        <v>JIM CORBETT</v>
      </c>
      <c r="P24" s="4" t="str">
        <f t="shared" si="4"/>
        <v>Too Crowded</v>
      </c>
      <c r="Q24" s="4">
        <f t="shared" si="5"/>
        <v>12</v>
      </c>
    </row>
    <row r="25" spans="1:17">
      <c r="A25">
        <v>1024</v>
      </c>
      <c r="B25" t="s">
        <v>64</v>
      </c>
      <c r="C25" t="s">
        <v>28</v>
      </c>
      <c r="D25" t="s">
        <v>53</v>
      </c>
      <c r="E25" s="1">
        <v>45568</v>
      </c>
      <c r="F25">
        <v>199</v>
      </c>
      <c r="G25" t="s">
        <v>20</v>
      </c>
      <c r="H25">
        <v>3.5</v>
      </c>
      <c r="I25">
        <v>463</v>
      </c>
      <c r="J25" t="s">
        <v>50</v>
      </c>
      <c r="K25" t="str">
        <f t="shared" si="0"/>
        <v>Neutral</v>
      </c>
      <c r="L25">
        <f t="shared" si="1"/>
        <v>463</v>
      </c>
      <c r="M25" t="str">
        <f t="shared" si="6"/>
        <v>Very Long</v>
      </c>
      <c r="N25" s="4" t="str">
        <f t="shared" si="2"/>
        <v>Boa</v>
      </c>
      <c r="O25" s="4" t="str">
        <f t="shared" si="3"/>
        <v>PERIYAR</v>
      </c>
      <c r="P25" s="4" t="str">
        <f t="shared" si="4"/>
        <v>Saw Rare Species</v>
      </c>
      <c r="Q25" s="4">
        <f t="shared" si="5"/>
        <v>11</v>
      </c>
    </row>
    <row r="26" spans="1:17">
      <c r="A26">
        <v>1025</v>
      </c>
      <c r="B26" t="s">
        <v>65</v>
      </c>
      <c r="C26" t="s">
        <v>28</v>
      </c>
      <c r="D26" t="s">
        <v>29</v>
      </c>
      <c r="E26" s="1">
        <v>45535</v>
      </c>
      <c r="F26">
        <v>43</v>
      </c>
      <c r="G26" t="s">
        <v>25</v>
      </c>
      <c r="H26">
        <v>4.0999999999999996</v>
      </c>
      <c r="I26">
        <v>124</v>
      </c>
      <c r="J26" t="s">
        <v>32</v>
      </c>
      <c r="K26" t="str">
        <f t="shared" si="0"/>
        <v>Good</v>
      </c>
      <c r="L26">
        <f t="shared" si="1"/>
        <v>124</v>
      </c>
      <c r="M26" t="str">
        <f t="shared" si="6"/>
        <v>Medium</v>
      </c>
      <c r="N26" s="4" t="str">
        <f t="shared" si="2"/>
        <v>Hik</v>
      </c>
      <c r="O26" s="4" t="str">
        <f t="shared" si="3"/>
        <v>PERIYAR</v>
      </c>
      <c r="P26" s="4" t="str">
        <f t="shared" si="4"/>
        <v>No Comments</v>
      </c>
      <c r="Q26" s="4">
        <f t="shared" si="5"/>
        <v>12</v>
      </c>
    </row>
    <row r="27" spans="1:17">
      <c r="A27">
        <v>1026</v>
      </c>
      <c r="B27" t="s">
        <v>61</v>
      </c>
      <c r="C27" t="s">
        <v>23</v>
      </c>
      <c r="D27" t="s">
        <v>53</v>
      </c>
      <c r="E27" s="1">
        <v>45554</v>
      </c>
      <c r="F27">
        <v>103</v>
      </c>
      <c r="G27" t="s">
        <v>20</v>
      </c>
      <c r="H27">
        <v>3.1</v>
      </c>
      <c r="I27">
        <v>392</v>
      </c>
      <c r="J27" t="s">
        <v>66</v>
      </c>
      <c r="K27" t="str">
        <f t="shared" si="0"/>
        <v>Neutral</v>
      </c>
      <c r="L27">
        <f t="shared" si="1"/>
        <v>392</v>
      </c>
      <c r="M27" t="str">
        <f t="shared" si="6"/>
        <v>Long</v>
      </c>
      <c r="N27" s="4" t="str">
        <f t="shared" si="2"/>
        <v>Boa</v>
      </c>
      <c r="O27" s="4" t="str">
        <f t="shared" si="3"/>
        <v>BANDHAVGARH</v>
      </c>
      <c r="P27" s="4" t="str">
        <f t="shared" si="4"/>
        <v>Amazing Experience</v>
      </c>
      <c r="Q27" s="4">
        <f t="shared" si="5"/>
        <v>11</v>
      </c>
    </row>
    <row r="28" spans="1:17">
      <c r="A28">
        <v>1027</v>
      </c>
      <c r="B28" t="s">
        <v>67</v>
      </c>
      <c r="C28" t="s">
        <v>43</v>
      </c>
      <c r="D28" t="s">
        <v>48</v>
      </c>
      <c r="E28" s="1">
        <v>45580</v>
      </c>
      <c r="F28">
        <v>188</v>
      </c>
      <c r="G28" t="s">
        <v>38</v>
      </c>
      <c r="H28">
        <v>4.8</v>
      </c>
      <c r="I28">
        <v>355</v>
      </c>
      <c r="J28" t="s">
        <v>50</v>
      </c>
      <c r="K28" t="str">
        <f t="shared" si="0"/>
        <v>Good</v>
      </c>
      <c r="L28">
        <f t="shared" si="1"/>
        <v>355</v>
      </c>
      <c r="M28" t="str">
        <f t="shared" si="6"/>
        <v>Very Long</v>
      </c>
      <c r="N28" s="4" t="str">
        <f t="shared" si="2"/>
        <v>Cam</v>
      </c>
      <c r="O28" s="4" t="str">
        <f t="shared" si="3"/>
        <v>RANTHAMBORE</v>
      </c>
      <c r="P28" s="4" t="str">
        <f t="shared" si="4"/>
        <v>Saw Rare Species</v>
      </c>
      <c r="Q28" s="4">
        <f t="shared" si="5"/>
        <v>11</v>
      </c>
    </row>
    <row r="29" spans="1:17">
      <c r="A29">
        <v>1028</v>
      </c>
      <c r="B29" t="s">
        <v>61</v>
      </c>
      <c r="C29" t="s">
        <v>43</v>
      </c>
      <c r="D29" t="s">
        <v>19</v>
      </c>
      <c r="E29" s="1">
        <v>45648</v>
      </c>
      <c r="F29">
        <v>211</v>
      </c>
      <c r="G29" t="s">
        <v>25</v>
      </c>
      <c r="H29">
        <v>5</v>
      </c>
      <c r="I29">
        <v>193</v>
      </c>
      <c r="J29" t="s">
        <v>50</v>
      </c>
      <c r="K29" t="str">
        <f t="shared" si="0"/>
        <v>Good</v>
      </c>
      <c r="L29">
        <f t="shared" si="1"/>
        <v>193</v>
      </c>
      <c r="M29" t="str">
        <f t="shared" si="6"/>
        <v>Very Long</v>
      </c>
      <c r="N29" s="4" t="str">
        <f t="shared" si="2"/>
        <v>Pho</v>
      </c>
      <c r="O29" s="4" t="str">
        <f t="shared" si="3"/>
        <v>RANTHAMBORE</v>
      </c>
      <c r="P29" s="4" t="str">
        <f t="shared" si="4"/>
        <v>Saw Rare Species</v>
      </c>
      <c r="Q29" s="4">
        <f t="shared" si="5"/>
        <v>11</v>
      </c>
    </row>
    <row r="30" spans="1:17">
      <c r="A30">
        <v>1029</v>
      </c>
      <c r="B30" t="s">
        <v>62</v>
      </c>
      <c r="C30" t="s">
        <v>34</v>
      </c>
      <c r="D30" t="s">
        <v>37</v>
      </c>
      <c r="E30" s="1">
        <v>45320</v>
      </c>
      <c r="F30">
        <v>43</v>
      </c>
      <c r="G30" t="s">
        <v>38</v>
      </c>
      <c r="H30">
        <v>3.5</v>
      </c>
      <c r="I30">
        <v>284</v>
      </c>
      <c r="J30" t="s">
        <v>68</v>
      </c>
      <c r="K30" t="str">
        <f t="shared" si="0"/>
        <v>Neutral</v>
      </c>
      <c r="L30">
        <f t="shared" si="1"/>
        <v>284</v>
      </c>
      <c r="M30" t="str">
        <f t="shared" si="6"/>
        <v>Medium</v>
      </c>
      <c r="N30" s="4" t="str">
        <f t="shared" si="2"/>
        <v>Bir</v>
      </c>
      <c r="O30" s="4" t="str">
        <f t="shared" si="3"/>
        <v>GIR</v>
      </c>
      <c r="P30" s="4" t="str">
        <f t="shared" si="4"/>
        <v>Average Service</v>
      </c>
      <c r="Q30" s="4">
        <f t="shared" si="5"/>
        <v>10</v>
      </c>
    </row>
    <row r="31" spans="1:17">
      <c r="A31">
        <v>1030</v>
      </c>
      <c r="B31" t="s">
        <v>69</v>
      </c>
      <c r="C31" t="s">
        <v>45</v>
      </c>
      <c r="D31" t="s">
        <v>24</v>
      </c>
      <c r="E31" s="1">
        <v>45465</v>
      </c>
      <c r="F31">
        <v>116</v>
      </c>
      <c r="G31" t="s">
        <v>46</v>
      </c>
      <c r="H31">
        <v>3.5</v>
      </c>
      <c r="I31">
        <v>152</v>
      </c>
      <c r="J31" t="s">
        <v>26</v>
      </c>
      <c r="K31" t="str">
        <f t="shared" si="0"/>
        <v>Neutral</v>
      </c>
      <c r="L31">
        <f t="shared" si="1"/>
        <v>152</v>
      </c>
      <c r="M31" t="str">
        <f t="shared" si="6"/>
        <v>Long</v>
      </c>
      <c r="N31" s="4" t="str">
        <f t="shared" si="2"/>
        <v>Saf</v>
      </c>
      <c r="O31" s="4" t="str">
        <f t="shared" si="3"/>
        <v>KANHA</v>
      </c>
      <c r="P31" s="4" t="str">
        <f t="shared" si="4"/>
        <v>Excellent Wildlife View</v>
      </c>
      <c r="Q31" s="4">
        <f t="shared" si="5"/>
        <v>12</v>
      </c>
    </row>
    <row r="32" spans="1:17">
      <c r="A32">
        <v>1031</v>
      </c>
      <c r="B32" t="s">
        <v>70</v>
      </c>
      <c r="C32" t="s">
        <v>45</v>
      </c>
      <c r="D32" t="s">
        <v>53</v>
      </c>
      <c r="E32" s="1">
        <v>45342</v>
      </c>
      <c r="F32">
        <v>113</v>
      </c>
      <c r="G32" t="s">
        <v>20</v>
      </c>
      <c r="H32">
        <v>4.5</v>
      </c>
      <c r="I32">
        <v>432</v>
      </c>
      <c r="J32" t="s">
        <v>32</v>
      </c>
      <c r="K32" t="str">
        <f t="shared" si="0"/>
        <v>Good</v>
      </c>
      <c r="L32">
        <f t="shared" si="1"/>
        <v>432</v>
      </c>
      <c r="M32" t="str">
        <f t="shared" si="6"/>
        <v>Long</v>
      </c>
      <c r="N32" s="4" t="str">
        <f t="shared" si="2"/>
        <v>Boa</v>
      </c>
      <c r="O32" s="4" t="str">
        <f t="shared" si="3"/>
        <v>KANHA</v>
      </c>
      <c r="P32" s="4" t="str">
        <f t="shared" si="4"/>
        <v>No Comments</v>
      </c>
      <c r="Q32" s="4">
        <f t="shared" si="5"/>
        <v>12</v>
      </c>
    </row>
    <row r="33" spans="1:17">
      <c r="A33">
        <v>1032</v>
      </c>
      <c r="B33" t="s">
        <v>71</v>
      </c>
      <c r="C33" t="s">
        <v>41</v>
      </c>
      <c r="D33" t="s">
        <v>29</v>
      </c>
      <c r="E33" s="1">
        <v>45329</v>
      </c>
      <c r="F33">
        <v>196</v>
      </c>
      <c r="G33" t="s">
        <v>20</v>
      </c>
      <c r="H33">
        <v>4.3</v>
      </c>
      <c r="I33">
        <v>430</v>
      </c>
      <c r="J33" t="s">
        <v>68</v>
      </c>
      <c r="K33" t="str">
        <f t="shared" si="0"/>
        <v>Good</v>
      </c>
      <c r="L33">
        <f t="shared" si="1"/>
        <v>430</v>
      </c>
      <c r="M33" t="str">
        <f t="shared" si="6"/>
        <v>Very Long</v>
      </c>
      <c r="N33" s="4" t="str">
        <f t="shared" si="2"/>
        <v>Hik</v>
      </c>
      <c r="O33" s="4" t="str">
        <f t="shared" si="3"/>
        <v>JIM CORBETT</v>
      </c>
      <c r="P33" s="4" t="str">
        <f t="shared" si="4"/>
        <v>Average Service</v>
      </c>
      <c r="Q33" s="4">
        <f t="shared" si="5"/>
        <v>11</v>
      </c>
    </row>
    <row r="34" spans="1:17">
      <c r="A34">
        <v>1033</v>
      </c>
      <c r="B34" t="s">
        <v>72</v>
      </c>
      <c r="C34" t="s">
        <v>34</v>
      </c>
      <c r="D34" t="s">
        <v>29</v>
      </c>
      <c r="E34" s="1">
        <v>45606</v>
      </c>
      <c r="F34">
        <v>78</v>
      </c>
      <c r="G34" t="s">
        <v>38</v>
      </c>
      <c r="H34">
        <v>3.3</v>
      </c>
      <c r="I34">
        <v>336</v>
      </c>
      <c r="J34" t="s">
        <v>73</v>
      </c>
      <c r="K34" t="str">
        <f t="shared" si="0"/>
        <v>Neutral</v>
      </c>
      <c r="L34">
        <f t="shared" si="1"/>
        <v>336</v>
      </c>
      <c r="M34" t="str">
        <f t="shared" si="6"/>
        <v>Medium</v>
      </c>
      <c r="N34" s="4" t="str">
        <f t="shared" si="2"/>
        <v>Hik</v>
      </c>
      <c r="O34" s="4" t="str">
        <f t="shared" si="3"/>
        <v>GIR</v>
      </c>
      <c r="P34" s="4" t="str">
        <f t="shared" si="4"/>
        <v>Peaceful Environment</v>
      </c>
      <c r="Q34" s="4">
        <f t="shared" si="5"/>
        <v>10</v>
      </c>
    </row>
    <row r="35" spans="1:17">
      <c r="A35">
        <v>1034</v>
      </c>
      <c r="B35" t="s">
        <v>74</v>
      </c>
      <c r="C35" t="s">
        <v>43</v>
      </c>
      <c r="D35" t="s">
        <v>29</v>
      </c>
      <c r="E35" s="1">
        <v>45574</v>
      </c>
      <c r="F35">
        <v>82</v>
      </c>
      <c r="G35" t="s">
        <v>25</v>
      </c>
      <c r="H35">
        <v>4.5999999999999996</v>
      </c>
      <c r="I35">
        <v>443</v>
      </c>
      <c r="J35" t="s">
        <v>35</v>
      </c>
      <c r="K35" t="str">
        <f t="shared" si="0"/>
        <v>Good</v>
      </c>
      <c r="L35">
        <f t="shared" si="1"/>
        <v>443</v>
      </c>
      <c r="M35" t="str">
        <f t="shared" si="6"/>
        <v>Medium</v>
      </c>
      <c r="N35" s="4" t="str">
        <f t="shared" si="2"/>
        <v>Hik</v>
      </c>
      <c r="O35" s="4" t="str">
        <f t="shared" si="3"/>
        <v>RANTHAMBORE</v>
      </c>
      <c r="P35" s="4" t="str">
        <f t="shared" si="4"/>
        <v>Very Enjoyable</v>
      </c>
      <c r="Q35" s="4">
        <f t="shared" si="5"/>
        <v>10</v>
      </c>
    </row>
    <row r="36" spans="1:17">
      <c r="A36">
        <v>1035</v>
      </c>
      <c r="B36" t="s">
        <v>75</v>
      </c>
      <c r="C36" t="s">
        <v>41</v>
      </c>
      <c r="D36" t="s">
        <v>37</v>
      </c>
      <c r="E36" s="1">
        <v>45379</v>
      </c>
      <c r="F36">
        <v>236</v>
      </c>
      <c r="G36" t="s">
        <v>20</v>
      </c>
      <c r="H36">
        <v>3.7</v>
      </c>
      <c r="I36">
        <v>299</v>
      </c>
      <c r="J36" t="s">
        <v>26</v>
      </c>
      <c r="K36" t="str">
        <f t="shared" si="0"/>
        <v>Neutral</v>
      </c>
      <c r="L36">
        <f t="shared" si="1"/>
        <v>299</v>
      </c>
      <c r="M36" t="str">
        <f t="shared" si="6"/>
        <v>Very Long</v>
      </c>
      <c r="N36" s="4" t="str">
        <f t="shared" si="2"/>
        <v>Bir</v>
      </c>
      <c r="O36" s="4" t="str">
        <f t="shared" si="3"/>
        <v>JIM CORBETT</v>
      </c>
      <c r="P36" s="4" t="str">
        <f t="shared" si="4"/>
        <v>Excellent Wildlife View</v>
      </c>
      <c r="Q36" s="4">
        <f t="shared" si="5"/>
        <v>12</v>
      </c>
    </row>
    <row r="37" spans="1:17">
      <c r="A37">
        <v>1036</v>
      </c>
      <c r="B37" t="s">
        <v>76</v>
      </c>
      <c r="C37" t="s">
        <v>18</v>
      </c>
      <c r="D37" t="s">
        <v>19</v>
      </c>
      <c r="E37" s="1">
        <v>45462</v>
      </c>
      <c r="F37">
        <v>128</v>
      </c>
      <c r="G37" t="s">
        <v>46</v>
      </c>
      <c r="H37">
        <v>3</v>
      </c>
      <c r="I37">
        <v>285</v>
      </c>
      <c r="J37" t="s">
        <v>35</v>
      </c>
      <c r="K37" t="str">
        <f t="shared" si="0"/>
        <v>Neutral</v>
      </c>
      <c r="L37">
        <f t="shared" si="1"/>
        <v>285</v>
      </c>
      <c r="M37" t="str">
        <f t="shared" si="6"/>
        <v>Long</v>
      </c>
      <c r="N37" s="4" t="str">
        <f t="shared" si="2"/>
        <v>Pho</v>
      </c>
      <c r="O37" s="4" t="str">
        <f t="shared" si="3"/>
        <v>SUNDARBANS</v>
      </c>
      <c r="P37" s="4" t="str">
        <f t="shared" si="4"/>
        <v>Very Enjoyable</v>
      </c>
      <c r="Q37" s="4">
        <f t="shared" si="5"/>
        <v>11</v>
      </c>
    </row>
    <row r="38" spans="1:17">
      <c r="A38">
        <v>1037</v>
      </c>
      <c r="B38" t="s">
        <v>77</v>
      </c>
      <c r="C38" t="s">
        <v>41</v>
      </c>
      <c r="D38" t="s">
        <v>37</v>
      </c>
      <c r="E38" s="1">
        <v>45618</v>
      </c>
      <c r="F38">
        <v>131</v>
      </c>
      <c r="G38" t="s">
        <v>38</v>
      </c>
      <c r="H38">
        <v>3.6</v>
      </c>
      <c r="I38">
        <v>102</v>
      </c>
      <c r="J38" t="s">
        <v>50</v>
      </c>
      <c r="K38" t="str">
        <f t="shared" si="0"/>
        <v>Neutral</v>
      </c>
      <c r="L38">
        <f t="shared" si="1"/>
        <v>102</v>
      </c>
      <c r="M38" t="str">
        <f t="shared" si="6"/>
        <v>Long</v>
      </c>
      <c r="N38" s="4" t="str">
        <f t="shared" si="2"/>
        <v>Bir</v>
      </c>
      <c r="O38" s="4" t="str">
        <f t="shared" si="3"/>
        <v>JIM CORBETT</v>
      </c>
      <c r="P38" s="4" t="str">
        <f t="shared" si="4"/>
        <v>Saw Rare Species</v>
      </c>
      <c r="Q38" s="4">
        <f t="shared" si="5"/>
        <v>10</v>
      </c>
    </row>
    <row r="39" spans="1:17">
      <c r="A39">
        <v>1038</v>
      </c>
      <c r="B39" t="s">
        <v>78</v>
      </c>
      <c r="C39" t="s">
        <v>52</v>
      </c>
      <c r="D39" t="s">
        <v>53</v>
      </c>
      <c r="E39" s="1">
        <v>45465</v>
      </c>
      <c r="F39">
        <v>24</v>
      </c>
      <c r="G39" t="s">
        <v>25</v>
      </c>
      <c r="H39">
        <v>3</v>
      </c>
      <c r="I39">
        <v>373</v>
      </c>
      <c r="J39" t="s">
        <v>32</v>
      </c>
      <c r="K39" t="str">
        <f t="shared" si="0"/>
        <v>Neutral</v>
      </c>
      <c r="L39">
        <f t="shared" si="1"/>
        <v>373</v>
      </c>
      <c r="M39" t="str">
        <f t="shared" si="6"/>
        <v>Short</v>
      </c>
      <c r="N39" s="4" t="str">
        <f t="shared" si="2"/>
        <v>Boa</v>
      </c>
      <c r="O39" s="4" t="str">
        <f t="shared" si="3"/>
        <v>KAZIRANGA</v>
      </c>
      <c r="P39" s="4" t="str">
        <f t="shared" si="4"/>
        <v>No Comments</v>
      </c>
      <c r="Q39" s="4">
        <f t="shared" si="5"/>
        <v>10</v>
      </c>
    </row>
    <row r="40" spans="1:17">
      <c r="A40">
        <v>1039</v>
      </c>
      <c r="B40" t="s">
        <v>79</v>
      </c>
      <c r="C40" t="s">
        <v>23</v>
      </c>
      <c r="D40" t="s">
        <v>19</v>
      </c>
      <c r="E40" s="1">
        <v>45523</v>
      </c>
      <c r="F40">
        <v>228</v>
      </c>
      <c r="G40" t="s">
        <v>25</v>
      </c>
      <c r="H40">
        <v>2.6</v>
      </c>
      <c r="I40">
        <v>435</v>
      </c>
      <c r="J40" t="s">
        <v>73</v>
      </c>
      <c r="K40" t="str">
        <f t="shared" si="0"/>
        <v>Bad</v>
      </c>
      <c r="L40">
        <f t="shared" si="1"/>
        <v>435</v>
      </c>
      <c r="M40" t="str">
        <f t="shared" si="6"/>
        <v>Very Long</v>
      </c>
      <c r="N40" s="4" t="str">
        <f t="shared" si="2"/>
        <v>Pho</v>
      </c>
      <c r="O40" s="4" t="str">
        <f t="shared" si="3"/>
        <v>BANDHAVGARH</v>
      </c>
      <c r="P40" s="4" t="str">
        <f t="shared" si="4"/>
        <v>Peaceful Environment</v>
      </c>
      <c r="Q40" s="4">
        <f t="shared" si="5"/>
        <v>11</v>
      </c>
    </row>
    <row r="41" spans="1:17">
      <c r="A41">
        <v>1040</v>
      </c>
      <c r="B41" t="s">
        <v>80</v>
      </c>
      <c r="C41" t="s">
        <v>41</v>
      </c>
      <c r="D41" t="s">
        <v>53</v>
      </c>
      <c r="E41" s="1">
        <v>45506</v>
      </c>
      <c r="F41">
        <v>73</v>
      </c>
      <c r="G41" t="s">
        <v>20</v>
      </c>
      <c r="H41">
        <v>3.5</v>
      </c>
      <c r="I41">
        <v>133</v>
      </c>
      <c r="J41" t="s">
        <v>21</v>
      </c>
      <c r="K41" t="str">
        <f t="shared" si="0"/>
        <v>Neutral</v>
      </c>
      <c r="L41">
        <f t="shared" si="1"/>
        <v>133</v>
      </c>
      <c r="M41" t="str">
        <f t="shared" si="6"/>
        <v>Medium</v>
      </c>
      <c r="N41" s="4" t="str">
        <f t="shared" si="2"/>
        <v>Boa</v>
      </c>
      <c r="O41" s="4" t="str">
        <f t="shared" si="3"/>
        <v>JIM CORBETT</v>
      </c>
      <c r="P41" s="4" t="str">
        <f t="shared" si="4"/>
        <v>Too Crowded</v>
      </c>
      <c r="Q41" s="4">
        <f t="shared" si="5"/>
        <v>12</v>
      </c>
    </row>
    <row r="42" spans="1:17">
      <c r="A42">
        <v>1041</v>
      </c>
      <c r="B42" t="s">
        <v>31</v>
      </c>
      <c r="C42" t="s">
        <v>34</v>
      </c>
      <c r="D42" t="s">
        <v>19</v>
      </c>
      <c r="E42" s="1">
        <v>45591</v>
      </c>
      <c r="F42">
        <v>32</v>
      </c>
      <c r="G42" t="s">
        <v>25</v>
      </c>
      <c r="H42">
        <v>4.0999999999999996</v>
      </c>
      <c r="I42">
        <v>218</v>
      </c>
      <c r="J42" t="s">
        <v>35</v>
      </c>
      <c r="K42" t="str">
        <f t="shared" si="0"/>
        <v>Good</v>
      </c>
      <c r="L42">
        <f t="shared" si="1"/>
        <v>218</v>
      </c>
      <c r="M42" t="str">
        <f t="shared" si="6"/>
        <v>Medium</v>
      </c>
      <c r="N42" s="4" t="str">
        <f t="shared" si="2"/>
        <v>Pho</v>
      </c>
      <c r="O42" s="4" t="str">
        <f t="shared" si="3"/>
        <v>GIR</v>
      </c>
      <c r="P42" s="4" t="str">
        <f t="shared" si="4"/>
        <v>Very Enjoyable</v>
      </c>
      <c r="Q42" s="4">
        <f t="shared" si="5"/>
        <v>9</v>
      </c>
    </row>
    <row r="43" spans="1:17">
      <c r="A43">
        <v>1042</v>
      </c>
      <c r="B43" t="s">
        <v>81</v>
      </c>
      <c r="C43" t="s">
        <v>41</v>
      </c>
      <c r="D43" t="s">
        <v>29</v>
      </c>
      <c r="E43" s="1">
        <v>45493</v>
      </c>
      <c r="F43">
        <v>73</v>
      </c>
      <c r="G43" t="s">
        <v>25</v>
      </c>
      <c r="H43">
        <v>2.5</v>
      </c>
      <c r="I43">
        <v>480</v>
      </c>
      <c r="J43" t="s">
        <v>30</v>
      </c>
      <c r="K43" t="str">
        <f t="shared" si="0"/>
        <v>Bad</v>
      </c>
      <c r="L43">
        <f t="shared" si="1"/>
        <v>480</v>
      </c>
      <c r="M43" t="str">
        <f t="shared" si="6"/>
        <v>Medium</v>
      </c>
      <c r="N43" s="4" t="str">
        <f t="shared" si="2"/>
        <v>Hik</v>
      </c>
      <c r="O43" s="4" t="str">
        <f t="shared" si="3"/>
        <v>JIM CORBETT</v>
      </c>
      <c r="P43" s="4" t="str">
        <f t="shared" si="4"/>
        <v>Good Guide Support</v>
      </c>
      <c r="Q43" s="4">
        <f t="shared" si="5"/>
        <v>11</v>
      </c>
    </row>
    <row r="44" spans="1:17">
      <c r="A44">
        <v>1043</v>
      </c>
      <c r="B44" t="s">
        <v>17</v>
      </c>
      <c r="C44" t="s">
        <v>52</v>
      </c>
      <c r="D44" t="s">
        <v>19</v>
      </c>
      <c r="E44" s="1">
        <v>45391</v>
      </c>
      <c r="F44">
        <v>167</v>
      </c>
      <c r="G44" t="s">
        <v>25</v>
      </c>
      <c r="H44">
        <v>4.3</v>
      </c>
      <c r="I44">
        <v>472</v>
      </c>
      <c r="J44" t="s">
        <v>66</v>
      </c>
      <c r="K44" t="str">
        <f t="shared" si="0"/>
        <v>Good</v>
      </c>
      <c r="L44">
        <f t="shared" si="1"/>
        <v>472</v>
      </c>
      <c r="M44" t="str">
        <f t="shared" si="6"/>
        <v>Long</v>
      </c>
      <c r="N44" s="4" t="str">
        <f t="shared" si="2"/>
        <v>Pho</v>
      </c>
      <c r="O44" s="4" t="str">
        <f t="shared" si="3"/>
        <v>KAZIRANGA</v>
      </c>
      <c r="P44" s="4" t="str">
        <f t="shared" si="4"/>
        <v>Amazing Experience</v>
      </c>
      <c r="Q44" s="4">
        <f t="shared" si="5"/>
        <v>11</v>
      </c>
    </row>
    <row r="45" spans="1:17">
      <c r="A45">
        <v>1044</v>
      </c>
      <c r="B45" t="s">
        <v>82</v>
      </c>
      <c r="C45" t="s">
        <v>34</v>
      </c>
      <c r="D45" t="s">
        <v>37</v>
      </c>
      <c r="E45" s="1">
        <v>45300</v>
      </c>
      <c r="F45">
        <v>207</v>
      </c>
      <c r="G45" t="s">
        <v>20</v>
      </c>
      <c r="H45">
        <v>4.2</v>
      </c>
      <c r="I45">
        <v>290</v>
      </c>
      <c r="J45" t="s">
        <v>26</v>
      </c>
      <c r="K45" t="str">
        <f t="shared" si="0"/>
        <v>Good</v>
      </c>
      <c r="L45">
        <f t="shared" si="1"/>
        <v>290</v>
      </c>
      <c r="M45" t="str">
        <f t="shared" si="6"/>
        <v>Very Long</v>
      </c>
      <c r="N45" s="4" t="str">
        <f t="shared" si="2"/>
        <v>Bir</v>
      </c>
      <c r="O45" s="4" t="str">
        <f t="shared" si="3"/>
        <v>GIR</v>
      </c>
      <c r="P45" s="4" t="str">
        <f t="shared" si="4"/>
        <v>Excellent Wildlife View</v>
      </c>
      <c r="Q45" s="4">
        <f t="shared" si="5"/>
        <v>11</v>
      </c>
    </row>
    <row r="46" spans="1:17">
      <c r="A46">
        <v>1045</v>
      </c>
      <c r="B46" t="s">
        <v>83</v>
      </c>
      <c r="C46" t="s">
        <v>43</v>
      </c>
      <c r="D46" t="s">
        <v>29</v>
      </c>
      <c r="E46" s="1">
        <v>45546</v>
      </c>
      <c r="F46">
        <v>220</v>
      </c>
      <c r="G46" t="s">
        <v>46</v>
      </c>
      <c r="H46">
        <v>4.2</v>
      </c>
      <c r="I46">
        <v>158</v>
      </c>
      <c r="J46" t="s">
        <v>32</v>
      </c>
      <c r="K46" t="str">
        <f t="shared" si="0"/>
        <v>Good</v>
      </c>
      <c r="L46">
        <f t="shared" si="1"/>
        <v>158</v>
      </c>
      <c r="M46" t="str">
        <f t="shared" si="6"/>
        <v>Very Long</v>
      </c>
      <c r="N46" s="4" t="str">
        <f t="shared" si="2"/>
        <v>Hik</v>
      </c>
      <c r="O46" s="4" t="str">
        <f t="shared" si="3"/>
        <v>RANTHAMBORE</v>
      </c>
      <c r="P46" s="4" t="str">
        <f t="shared" si="4"/>
        <v>No Comments</v>
      </c>
      <c r="Q46" s="4">
        <f t="shared" si="5"/>
        <v>11</v>
      </c>
    </row>
    <row r="47" spans="1:17">
      <c r="A47">
        <v>1046</v>
      </c>
      <c r="B47" t="s">
        <v>84</v>
      </c>
      <c r="C47" t="s">
        <v>18</v>
      </c>
      <c r="D47" t="s">
        <v>19</v>
      </c>
      <c r="E47" s="1">
        <v>45532</v>
      </c>
      <c r="F47">
        <v>201</v>
      </c>
      <c r="G47" t="s">
        <v>38</v>
      </c>
      <c r="H47">
        <v>3.3</v>
      </c>
      <c r="I47">
        <v>364</v>
      </c>
      <c r="J47" t="s">
        <v>32</v>
      </c>
      <c r="K47" t="str">
        <f t="shared" si="0"/>
        <v>Neutral</v>
      </c>
      <c r="L47">
        <f t="shared" si="1"/>
        <v>364</v>
      </c>
      <c r="M47" t="str">
        <f t="shared" si="6"/>
        <v>Very Long</v>
      </c>
      <c r="N47" s="4" t="str">
        <f t="shared" si="2"/>
        <v>Pho</v>
      </c>
      <c r="O47" s="4" t="str">
        <f t="shared" si="3"/>
        <v>SUNDARBANS</v>
      </c>
      <c r="P47" s="4" t="str">
        <f t="shared" si="4"/>
        <v>No Comments</v>
      </c>
      <c r="Q47" s="4">
        <f t="shared" si="5"/>
        <v>12</v>
      </c>
    </row>
    <row r="48" spans="1:17">
      <c r="A48">
        <v>1047</v>
      </c>
      <c r="B48" t="s">
        <v>85</v>
      </c>
      <c r="C48" t="s">
        <v>41</v>
      </c>
      <c r="D48" t="s">
        <v>19</v>
      </c>
      <c r="E48" s="1">
        <v>45450</v>
      </c>
      <c r="F48">
        <v>56</v>
      </c>
      <c r="G48" t="s">
        <v>38</v>
      </c>
      <c r="H48">
        <v>3</v>
      </c>
      <c r="I48">
        <v>381</v>
      </c>
      <c r="J48" t="s">
        <v>66</v>
      </c>
      <c r="K48" t="str">
        <f t="shared" si="0"/>
        <v>Neutral</v>
      </c>
      <c r="L48">
        <f t="shared" si="1"/>
        <v>381</v>
      </c>
      <c r="M48" t="str">
        <f t="shared" si="6"/>
        <v>Medium</v>
      </c>
      <c r="N48" s="4" t="str">
        <f t="shared" si="2"/>
        <v>Pho</v>
      </c>
      <c r="O48" s="4" t="str">
        <f t="shared" si="3"/>
        <v>JIM CORBETT</v>
      </c>
      <c r="P48" s="4" t="str">
        <f t="shared" si="4"/>
        <v>Amazing Experience</v>
      </c>
      <c r="Q48" s="4">
        <f t="shared" si="5"/>
        <v>9</v>
      </c>
    </row>
    <row r="49" spans="1:17">
      <c r="A49">
        <v>1048</v>
      </c>
      <c r="B49" t="s">
        <v>86</v>
      </c>
      <c r="C49" t="s">
        <v>34</v>
      </c>
      <c r="D49" t="s">
        <v>24</v>
      </c>
      <c r="E49" s="1">
        <v>45458</v>
      </c>
      <c r="F49">
        <v>56</v>
      </c>
      <c r="G49" t="s">
        <v>20</v>
      </c>
      <c r="H49">
        <v>4.9000000000000004</v>
      </c>
      <c r="I49">
        <v>267</v>
      </c>
      <c r="J49" t="s">
        <v>54</v>
      </c>
      <c r="K49" t="str">
        <f t="shared" si="0"/>
        <v>Good</v>
      </c>
      <c r="L49">
        <f t="shared" si="1"/>
        <v>267</v>
      </c>
      <c r="M49" t="str">
        <f t="shared" si="6"/>
        <v>Medium</v>
      </c>
      <c r="N49" s="4" t="str">
        <f t="shared" si="2"/>
        <v>Saf</v>
      </c>
      <c r="O49" s="4" t="str">
        <f t="shared" si="3"/>
        <v>GIR</v>
      </c>
      <c r="P49" s="4" t="str">
        <f t="shared" si="4"/>
        <v>Could Be Cleaner</v>
      </c>
      <c r="Q49" s="4">
        <f t="shared" si="5"/>
        <v>10</v>
      </c>
    </row>
    <row r="50" spans="1:17">
      <c r="A50">
        <v>1049</v>
      </c>
      <c r="B50" t="s">
        <v>84</v>
      </c>
      <c r="C50" t="s">
        <v>23</v>
      </c>
      <c r="D50" t="s">
        <v>53</v>
      </c>
      <c r="E50" s="1">
        <v>45309</v>
      </c>
      <c r="F50">
        <v>84</v>
      </c>
      <c r="G50" t="s">
        <v>46</v>
      </c>
      <c r="H50">
        <v>3.5</v>
      </c>
      <c r="I50">
        <v>420</v>
      </c>
      <c r="J50" t="s">
        <v>66</v>
      </c>
      <c r="K50" t="str">
        <f t="shared" si="0"/>
        <v>Neutral</v>
      </c>
      <c r="L50">
        <f t="shared" si="1"/>
        <v>420</v>
      </c>
      <c r="M50" t="str">
        <f t="shared" si="6"/>
        <v>Medium</v>
      </c>
      <c r="N50" s="4" t="str">
        <f t="shared" si="2"/>
        <v>Boa</v>
      </c>
      <c r="O50" s="4" t="str">
        <f t="shared" si="3"/>
        <v>BANDHAVGARH</v>
      </c>
      <c r="P50" s="4" t="str">
        <f t="shared" si="4"/>
        <v>Amazing Experience</v>
      </c>
      <c r="Q50" s="4">
        <f t="shared" si="5"/>
        <v>12</v>
      </c>
    </row>
    <row r="51" spans="1:17">
      <c r="A51">
        <v>1050</v>
      </c>
      <c r="B51" t="s">
        <v>87</v>
      </c>
      <c r="C51" t="s">
        <v>41</v>
      </c>
      <c r="D51" t="s">
        <v>37</v>
      </c>
      <c r="E51" s="1">
        <v>45651</v>
      </c>
      <c r="F51">
        <v>233</v>
      </c>
      <c r="G51" t="s">
        <v>46</v>
      </c>
      <c r="H51">
        <v>4.0999999999999996</v>
      </c>
      <c r="I51">
        <v>411</v>
      </c>
      <c r="J51" t="s">
        <v>35</v>
      </c>
      <c r="K51" t="str">
        <f t="shared" si="0"/>
        <v>Good</v>
      </c>
      <c r="L51">
        <f t="shared" si="1"/>
        <v>411</v>
      </c>
      <c r="M51" t="str">
        <f t="shared" si="6"/>
        <v>Very Long</v>
      </c>
      <c r="N51" s="4" t="str">
        <f t="shared" si="2"/>
        <v>Bir</v>
      </c>
      <c r="O51" s="4" t="str">
        <f t="shared" si="3"/>
        <v>JIM CORBETT</v>
      </c>
      <c r="P51" s="4" t="str">
        <f t="shared" si="4"/>
        <v>Very Enjoyable</v>
      </c>
      <c r="Q51" s="4">
        <f t="shared" si="5"/>
        <v>10</v>
      </c>
    </row>
    <row r="52" spans="1:17">
      <c r="A52">
        <v>1051</v>
      </c>
      <c r="B52" t="s">
        <v>33</v>
      </c>
      <c r="C52" t="s">
        <v>28</v>
      </c>
      <c r="D52" t="s">
        <v>48</v>
      </c>
      <c r="E52" s="1">
        <v>45425</v>
      </c>
      <c r="F52">
        <v>177</v>
      </c>
      <c r="G52" t="s">
        <v>25</v>
      </c>
      <c r="H52">
        <v>4.8</v>
      </c>
      <c r="I52">
        <v>127</v>
      </c>
      <c r="J52" t="s">
        <v>35</v>
      </c>
      <c r="K52" t="str">
        <f t="shared" si="0"/>
        <v>Good</v>
      </c>
      <c r="L52">
        <f t="shared" si="1"/>
        <v>127</v>
      </c>
      <c r="M52" t="str">
        <f t="shared" si="6"/>
        <v>Long</v>
      </c>
      <c r="N52" s="4" t="str">
        <f t="shared" si="2"/>
        <v>Cam</v>
      </c>
      <c r="O52" s="4" t="str">
        <f t="shared" si="3"/>
        <v>PERIYAR</v>
      </c>
      <c r="P52" s="4" t="str">
        <f t="shared" si="4"/>
        <v>Very Enjoyable</v>
      </c>
      <c r="Q52" s="4">
        <f t="shared" si="5"/>
        <v>12</v>
      </c>
    </row>
    <row r="53" spans="1:17">
      <c r="A53">
        <v>1052</v>
      </c>
      <c r="B53" t="s">
        <v>88</v>
      </c>
      <c r="C53" t="s">
        <v>23</v>
      </c>
      <c r="D53" t="s">
        <v>48</v>
      </c>
      <c r="E53" s="1">
        <v>45390</v>
      </c>
      <c r="F53">
        <v>131</v>
      </c>
      <c r="G53" t="s">
        <v>25</v>
      </c>
      <c r="H53">
        <v>4.2</v>
      </c>
      <c r="I53">
        <v>396</v>
      </c>
      <c r="J53" t="s">
        <v>73</v>
      </c>
      <c r="K53" t="str">
        <f t="shared" si="0"/>
        <v>Good</v>
      </c>
      <c r="L53">
        <f t="shared" si="1"/>
        <v>396</v>
      </c>
      <c r="M53" t="str">
        <f t="shared" si="6"/>
        <v>Long</v>
      </c>
      <c r="N53" s="4" t="str">
        <f t="shared" si="2"/>
        <v>Cam</v>
      </c>
      <c r="O53" s="4" t="str">
        <f t="shared" si="3"/>
        <v>BANDHAVGARH</v>
      </c>
      <c r="P53" s="4" t="str">
        <f t="shared" si="4"/>
        <v>Peaceful Environment</v>
      </c>
      <c r="Q53" s="4">
        <f t="shared" si="5"/>
        <v>13</v>
      </c>
    </row>
    <row r="54" spans="1:17">
      <c r="A54">
        <v>1053</v>
      </c>
      <c r="B54" t="s">
        <v>31</v>
      </c>
      <c r="C54" t="s">
        <v>34</v>
      </c>
      <c r="D54" t="s">
        <v>19</v>
      </c>
      <c r="E54" s="1">
        <v>45585</v>
      </c>
      <c r="F54">
        <v>59</v>
      </c>
      <c r="G54" t="s">
        <v>20</v>
      </c>
      <c r="H54">
        <v>3.4</v>
      </c>
      <c r="I54">
        <v>165</v>
      </c>
      <c r="J54" t="s">
        <v>68</v>
      </c>
      <c r="K54" t="str">
        <f t="shared" si="0"/>
        <v>Neutral</v>
      </c>
      <c r="L54">
        <f t="shared" si="1"/>
        <v>165</v>
      </c>
      <c r="M54" t="str">
        <f t="shared" si="6"/>
        <v>Medium</v>
      </c>
      <c r="N54" s="4" t="str">
        <f t="shared" si="2"/>
        <v>Pho</v>
      </c>
      <c r="O54" s="4" t="str">
        <f t="shared" si="3"/>
        <v>GIR</v>
      </c>
      <c r="P54" s="4" t="str">
        <f t="shared" si="4"/>
        <v>Average Service</v>
      </c>
      <c r="Q54" s="4">
        <f t="shared" si="5"/>
        <v>9</v>
      </c>
    </row>
    <row r="55" spans="1:17">
      <c r="A55">
        <v>1054</v>
      </c>
      <c r="B55" t="s">
        <v>89</v>
      </c>
      <c r="C55" t="s">
        <v>41</v>
      </c>
      <c r="D55" t="s">
        <v>48</v>
      </c>
      <c r="E55" s="1">
        <v>45512</v>
      </c>
      <c r="F55">
        <v>211</v>
      </c>
      <c r="G55" t="s">
        <v>38</v>
      </c>
      <c r="H55">
        <v>3.7</v>
      </c>
      <c r="I55">
        <v>253</v>
      </c>
      <c r="J55" t="s">
        <v>54</v>
      </c>
      <c r="K55" t="str">
        <f t="shared" si="0"/>
        <v>Neutral</v>
      </c>
      <c r="L55">
        <f t="shared" si="1"/>
        <v>253</v>
      </c>
      <c r="M55" t="str">
        <f t="shared" si="6"/>
        <v>Very Long</v>
      </c>
      <c r="N55" s="4" t="str">
        <f t="shared" si="2"/>
        <v>Cam</v>
      </c>
      <c r="O55" s="4" t="str">
        <f t="shared" si="3"/>
        <v>JIM CORBETT</v>
      </c>
      <c r="P55" s="4" t="str">
        <f t="shared" si="4"/>
        <v>Could Be Cleaner</v>
      </c>
      <c r="Q55" s="4">
        <f t="shared" si="5"/>
        <v>11</v>
      </c>
    </row>
    <row r="56" spans="1:17">
      <c r="A56">
        <v>1055</v>
      </c>
      <c r="B56" t="s">
        <v>90</v>
      </c>
      <c r="C56" t="s">
        <v>43</v>
      </c>
      <c r="D56" t="s">
        <v>48</v>
      </c>
      <c r="E56" s="1">
        <v>45570</v>
      </c>
      <c r="F56">
        <v>185</v>
      </c>
      <c r="G56" t="s">
        <v>46</v>
      </c>
      <c r="H56">
        <v>4.9000000000000004</v>
      </c>
      <c r="I56">
        <v>369</v>
      </c>
      <c r="J56" t="s">
        <v>54</v>
      </c>
      <c r="K56" t="str">
        <f t="shared" si="0"/>
        <v>Good</v>
      </c>
      <c r="L56">
        <f t="shared" si="1"/>
        <v>369</v>
      </c>
      <c r="M56" t="str">
        <f t="shared" si="6"/>
        <v>Very Long</v>
      </c>
      <c r="N56" s="4" t="str">
        <f t="shared" si="2"/>
        <v>Cam</v>
      </c>
      <c r="O56" s="4" t="str">
        <f t="shared" si="3"/>
        <v>RANTHAMBORE</v>
      </c>
      <c r="P56" s="4" t="str">
        <f t="shared" si="4"/>
        <v>Could Be Cleaner</v>
      </c>
      <c r="Q56" s="4">
        <f t="shared" si="5"/>
        <v>12</v>
      </c>
    </row>
    <row r="57" spans="1:17">
      <c r="A57">
        <v>1056</v>
      </c>
      <c r="B57" t="s">
        <v>44</v>
      </c>
      <c r="C57" t="s">
        <v>45</v>
      </c>
      <c r="D57" t="s">
        <v>24</v>
      </c>
      <c r="E57" s="1">
        <v>45447</v>
      </c>
      <c r="F57">
        <v>158</v>
      </c>
      <c r="G57" t="s">
        <v>25</v>
      </c>
      <c r="H57">
        <v>2.9</v>
      </c>
      <c r="I57">
        <v>290</v>
      </c>
      <c r="J57" t="s">
        <v>21</v>
      </c>
      <c r="K57" t="str">
        <f t="shared" si="0"/>
        <v>Bad</v>
      </c>
      <c r="L57">
        <f t="shared" si="1"/>
        <v>290</v>
      </c>
      <c r="M57" t="str">
        <f t="shared" si="6"/>
        <v>Long</v>
      </c>
      <c r="N57" s="4" t="str">
        <f t="shared" si="2"/>
        <v>Saf</v>
      </c>
      <c r="O57" s="4" t="str">
        <f t="shared" si="3"/>
        <v>KANHA</v>
      </c>
      <c r="P57" s="4" t="str">
        <f t="shared" si="4"/>
        <v>Too Crowded</v>
      </c>
      <c r="Q57" s="4">
        <f t="shared" si="5"/>
        <v>11</v>
      </c>
    </row>
    <row r="58" spans="1:17">
      <c r="A58">
        <v>1057</v>
      </c>
      <c r="B58" t="s">
        <v>65</v>
      </c>
      <c r="C58" t="s">
        <v>23</v>
      </c>
      <c r="D58" t="s">
        <v>37</v>
      </c>
      <c r="E58" s="1">
        <v>45563</v>
      </c>
      <c r="F58">
        <v>225</v>
      </c>
      <c r="G58" t="s">
        <v>20</v>
      </c>
      <c r="H58">
        <v>3.9</v>
      </c>
      <c r="I58">
        <v>425</v>
      </c>
      <c r="J58" t="s">
        <v>68</v>
      </c>
      <c r="K58" t="str">
        <f t="shared" si="0"/>
        <v>Neutral</v>
      </c>
      <c r="L58">
        <f t="shared" si="1"/>
        <v>425</v>
      </c>
      <c r="M58" t="str">
        <f t="shared" si="6"/>
        <v>Very Long</v>
      </c>
      <c r="N58" s="4" t="str">
        <f t="shared" si="2"/>
        <v>Bir</v>
      </c>
      <c r="O58" s="4" t="str">
        <f t="shared" si="3"/>
        <v>BANDHAVGARH</v>
      </c>
      <c r="P58" s="4" t="str">
        <f t="shared" si="4"/>
        <v>Average Service</v>
      </c>
      <c r="Q58" s="4">
        <f t="shared" si="5"/>
        <v>12</v>
      </c>
    </row>
    <row r="59" spans="1:17">
      <c r="A59">
        <v>1058</v>
      </c>
      <c r="B59" t="s">
        <v>91</v>
      </c>
      <c r="C59" t="s">
        <v>23</v>
      </c>
      <c r="D59" t="s">
        <v>48</v>
      </c>
      <c r="E59" s="1">
        <v>45323</v>
      </c>
      <c r="F59">
        <v>125</v>
      </c>
      <c r="G59" t="s">
        <v>46</v>
      </c>
      <c r="H59">
        <v>4.0999999999999996</v>
      </c>
      <c r="I59">
        <v>264</v>
      </c>
      <c r="J59" t="s">
        <v>35</v>
      </c>
      <c r="K59" t="str">
        <f t="shared" si="0"/>
        <v>Good</v>
      </c>
      <c r="L59">
        <f t="shared" si="1"/>
        <v>264</v>
      </c>
      <c r="M59" t="str">
        <f t="shared" si="6"/>
        <v>Long</v>
      </c>
      <c r="N59" s="4" t="str">
        <f t="shared" si="2"/>
        <v>Cam</v>
      </c>
      <c r="O59" s="4" t="str">
        <f t="shared" si="3"/>
        <v>BANDHAVGARH</v>
      </c>
      <c r="P59" s="4" t="str">
        <f t="shared" si="4"/>
        <v>Very Enjoyable</v>
      </c>
      <c r="Q59" s="4">
        <f t="shared" si="5"/>
        <v>13</v>
      </c>
    </row>
    <row r="60" spans="1:17">
      <c r="A60">
        <v>1059</v>
      </c>
      <c r="B60" t="s">
        <v>92</v>
      </c>
      <c r="C60" t="s">
        <v>41</v>
      </c>
      <c r="D60" t="s">
        <v>37</v>
      </c>
      <c r="E60" s="1">
        <v>45297</v>
      </c>
      <c r="F60">
        <v>65</v>
      </c>
      <c r="G60" t="s">
        <v>25</v>
      </c>
      <c r="H60">
        <v>4.9000000000000004</v>
      </c>
      <c r="I60">
        <v>160</v>
      </c>
      <c r="J60" t="s">
        <v>50</v>
      </c>
      <c r="K60" t="str">
        <f t="shared" si="0"/>
        <v>Good</v>
      </c>
      <c r="L60">
        <f t="shared" si="1"/>
        <v>160</v>
      </c>
      <c r="M60" t="str">
        <f t="shared" si="6"/>
        <v>Medium</v>
      </c>
      <c r="N60" s="4" t="str">
        <f t="shared" si="2"/>
        <v>Bir</v>
      </c>
      <c r="O60" s="4" t="str">
        <f t="shared" si="3"/>
        <v>JIM CORBETT</v>
      </c>
      <c r="P60" s="4" t="str">
        <f t="shared" si="4"/>
        <v>Saw Rare Species</v>
      </c>
      <c r="Q60" s="4">
        <f t="shared" si="5"/>
        <v>11</v>
      </c>
    </row>
    <row r="61" spans="1:17">
      <c r="A61">
        <v>1060</v>
      </c>
      <c r="B61" t="s">
        <v>71</v>
      </c>
      <c r="C61" t="s">
        <v>45</v>
      </c>
      <c r="D61" t="s">
        <v>24</v>
      </c>
      <c r="E61" s="1">
        <v>45624</v>
      </c>
      <c r="F61">
        <v>134</v>
      </c>
      <c r="G61" t="s">
        <v>25</v>
      </c>
      <c r="H61">
        <v>3.3</v>
      </c>
      <c r="I61">
        <v>429</v>
      </c>
      <c r="J61" t="s">
        <v>26</v>
      </c>
      <c r="K61" t="str">
        <f t="shared" si="0"/>
        <v>Neutral</v>
      </c>
      <c r="L61">
        <f t="shared" si="1"/>
        <v>429</v>
      </c>
      <c r="M61" t="str">
        <f t="shared" si="6"/>
        <v>Long</v>
      </c>
      <c r="N61" s="4" t="str">
        <f t="shared" si="2"/>
        <v>Saf</v>
      </c>
      <c r="O61" s="4" t="str">
        <f t="shared" si="3"/>
        <v>KANHA</v>
      </c>
      <c r="P61" s="4" t="str">
        <f t="shared" si="4"/>
        <v>Excellent Wildlife View</v>
      </c>
      <c r="Q61" s="4">
        <f t="shared" si="5"/>
        <v>11</v>
      </c>
    </row>
    <row r="62" spans="1:17">
      <c r="A62">
        <v>1061</v>
      </c>
      <c r="B62" t="s">
        <v>87</v>
      </c>
      <c r="C62" t="s">
        <v>23</v>
      </c>
      <c r="D62" t="s">
        <v>24</v>
      </c>
      <c r="E62" s="1">
        <v>45470</v>
      </c>
      <c r="F62">
        <v>44</v>
      </c>
      <c r="G62" t="s">
        <v>46</v>
      </c>
      <c r="H62">
        <v>3.8</v>
      </c>
      <c r="I62">
        <v>180</v>
      </c>
      <c r="J62" t="s">
        <v>68</v>
      </c>
      <c r="K62" t="str">
        <f t="shared" si="0"/>
        <v>Neutral</v>
      </c>
      <c r="L62">
        <f t="shared" si="1"/>
        <v>180</v>
      </c>
      <c r="M62" t="str">
        <f t="shared" si="6"/>
        <v>Medium</v>
      </c>
      <c r="N62" s="4" t="str">
        <f t="shared" si="2"/>
        <v>Saf</v>
      </c>
      <c r="O62" s="4" t="str">
        <f t="shared" si="3"/>
        <v>BANDHAVGARH</v>
      </c>
      <c r="P62" s="4" t="str">
        <f t="shared" si="4"/>
        <v>Average Service</v>
      </c>
      <c r="Q62" s="4">
        <f t="shared" si="5"/>
        <v>10</v>
      </c>
    </row>
    <row r="63" spans="1:17">
      <c r="A63">
        <v>1062</v>
      </c>
      <c r="B63" t="s">
        <v>81</v>
      </c>
      <c r="C63" t="s">
        <v>28</v>
      </c>
      <c r="D63" t="s">
        <v>24</v>
      </c>
      <c r="E63" s="1">
        <v>45526</v>
      </c>
      <c r="F63">
        <v>173</v>
      </c>
      <c r="G63" t="s">
        <v>20</v>
      </c>
      <c r="H63">
        <v>2.9</v>
      </c>
      <c r="I63">
        <v>300</v>
      </c>
      <c r="J63" t="s">
        <v>32</v>
      </c>
      <c r="K63" t="str">
        <f t="shared" si="0"/>
        <v>Bad</v>
      </c>
      <c r="L63">
        <f t="shared" si="1"/>
        <v>300</v>
      </c>
      <c r="M63" t="str">
        <f t="shared" si="6"/>
        <v>Long</v>
      </c>
      <c r="N63" s="4" t="str">
        <f t="shared" si="2"/>
        <v>Saf</v>
      </c>
      <c r="O63" s="4" t="str">
        <f t="shared" si="3"/>
        <v>PERIYAR</v>
      </c>
      <c r="P63" s="4" t="str">
        <f t="shared" si="4"/>
        <v>No Comments</v>
      </c>
      <c r="Q63" s="4">
        <f t="shared" si="5"/>
        <v>11</v>
      </c>
    </row>
    <row r="64" spans="1:17">
      <c r="A64">
        <v>1063</v>
      </c>
      <c r="B64" t="s">
        <v>85</v>
      </c>
      <c r="C64" t="s">
        <v>45</v>
      </c>
      <c r="D64" t="s">
        <v>53</v>
      </c>
      <c r="E64" s="1">
        <v>45368</v>
      </c>
      <c r="F64">
        <v>82</v>
      </c>
      <c r="G64" t="s">
        <v>25</v>
      </c>
      <c r="H64">
        <v>3.5</v>
      </c>
      <c r="I64">
        <v>454</v>
      </c>
      <c r="J64" t="s">
        <v>21</v>
      </c>
      <c r="K64" t="str">
        <f t="shared" si="0"/>
        <v>Neutral</v>
      </c>
      <c r="L64">
        <f t="shared" si="1"/>
        <v>454</v>
      </c>
      <c r="M64" t="str">
        <f t="shared" si="6"/>
        <v>Medium</v>
      </c>
      <c r="N64" s="4" t="str">
        <f t="shared" si="2"/>
        <v>Boa</v>
      </c>
      <c r="O64" s="4" t="str">
        <f t="shared" si="3"/>
        <v>KANHA</v>
      </c>
      <c r="P64" s="4" t="str">
        <f t="shared" si="4"/>
        <v>Too Crowded</v>
      </c>
      <c r="Q64" s="4">
        <f t="shared" si="5"/>
        <v>9</v>
      </c>
    </row>
    <row r="65" spans="1:17">
      <c r="A65">
        <v>1064</v>
      </c>
      <c r="B65" t="s">
        <v>69</v>
      </c>
      <c r="C65" t="s">
        <v>52</v>
      </c>
      <c r="D65" t="s">
        <v>29</v>
      </c>
      <c r="E65" s="1">
        <v>45548</v>
      </c>
      <c r="F65">
        <v>178</v>
      </c>
      <c r="G65" t="s">
        <v>20</v>
      </c>
      <c r="H65">
        <v>3.8</v>
      </c>
      <c r="I65">
        <v>172</v>
      </c>
      <c r="J65" t="s">
        <v>21</v>
      </c>
      <c r="K65" t="str">
        <f t="shared" si="0"/>
        <v>Neutral</v>
      </c>
      <c r="L65">
        <f t="shared" si="1"/>
        <v>172</v>
      </c>
      <c r="M65" t="str">
        <f t="shared" si="6"/>
        <v>Long</v>
      </c>
      <c r="N65" s="4" t="str">
        <f t="shared" si="2"/>
        <v>Hik</v>
      </c>
      <c r="O65" s="4" t="str">
        <f t="shared" si="3"/>
        <v>KAZIRANGA</v>
      </c>
      <c r="P65" s="4" t="str">
        <f t="shared" si="4"/>
        <v>Too Crowded</v>
      </c>
      <c r="Q65" s="4">
        <f t="shared" si="5"/>
        <v>12</v>
      </c>
    </row>
    <row r="66" spans="1:17">
      <c r="A66">
        <v>1065</v>
      </c>
      <c r="B66" t="s">
        <v>93</v>
      </c>
      <c r="C66" t="s">
        <v>45</v>
      </c>
      <c r="D66" t="s">
        <v>24</v>
      </c>
      <c r="E66" s="1">
        <v>45377</v>
      </c>
      <c r="F66">
        <v>161</v>
      </c>
      <c r="G66" t="s">
        <v>25</v>
      </c>
      <c r="H66">
        <v>5</v>
      </c>
      <c r="I66">
        <v>455</v>
      </c>
      <c r="J66" t="s">
        <v>54</v>
      </c>
      <c r="K66" t="str">
        <f t="shared" ref="K66:K129" si="7">IF(H66&gt;4,"Good",IF(H66&gt;=3,"Neutral","Bad"))</f>
        <v>Good</v>
      </c>
      <c r="L66">
        <f t="shared" ref="L66:L129" si="8">ROUND(I66,0)</f>
        <v>455</v>
      </c>
      <c r="M66" t="str">
        <f t="shared" ref="M66:M129" si="9">IF(F66&lt;30,"Short",IF(F66&lt;90,"Medium",IF(F66&lt;180,"Long","Very Long")))</f>
        <v>Long</v>
      </c>
      <c r="N66" s="4" t="str">
        <f t="shared" ref="N66:N129" si="10">LEFT(D66,3)</f>
        <v>Saf</v>
      </c>
      <c r="O66" s="4" t="str">
        <f t="shared" ref="O66:O129" si="11">UPPER(C66)</f>
        <v>KANHA</v>
      </c>
      <c r="P66" s="4" t="str">
        <f t="shared" ref="P66:P129" si="12">PROPER(J66)</f>
        <v>Could Be Cleaner</v>
      </c>
      <c r="Q66" s="4">
        <f t="shared" ref="Q66:Q129" si="13">LEN(B66)</f>
        <v>11</v>
      </c>
    </row>
    <row r="67" spans="1:17">
      <c r="A67">
        <v>1066</v>
      </c>
      <c r="B67" t="s">
        <v>94</v>
      </c>
      <c r="C67" t="s">
        <v>34</v>
      </c>
      <c r="D67" t="s">
        <v>29</v>
      </c>
      <c r="E67" s="1">
        <v>45549</v>
      </c>
      <c r="F67">
        <v>148</v>
      </c>
      <c r="G67" t="s">
        <v>20</v>
      </c>
      <c r="H67">
        <v>4.2</v>
      </c>
      <c r="I67">
        <v>276</v>
      </c>
      <c r="J67" t="s">
        <v>21</v>
      </c>
      <c r="K67" t="str">
        <f t="shared" si="7"/>
        <v>Good</v>
      </c>
      <c r="L67">
        <f t="shared" si="8"/>
        <v>276</v>
      </c>
      <c r="M67" t="str">
        <f t="shared" si="9"/>
        <v>Long</v>
      </c>
      <c r="N67" s="4" t="str">
        <f t="shared" si="10"/>
        <v>Hik</v>
      </c>
      <c r="O67" s="4" t="str">
        <f t="shared" si="11"/>
        <v>GIR</v>
      </c>
      <c r="P67" s="4" t="str">
        <f t="shared" si="12"/>
        <v>Too Crowded</v>
      </c>
      <c r="Q67" s="4">
        <f t="shared" si="13"/>
        <v>9</v>
      </c>
    </row>
    <row r="68" spans="1:17">
      <c r="A68">
        <v>1067</v>
      </c>
      <c r="B68" t="s">
        <v>95</v>
      </c>
      <c r="C68" t="s">
        <v>43</v>
      </c>
      <c r="D68" t="s">
        <v>24</v>
      </c>
      <c r="E68" s="1">
        <v>45343</v>
      </c>
      <c r="F68">
        <v>161</v>
      </c>
      <c r="G68" t="s">
        <v>20</v>
      </c>
      <c r="H68">
        <v>3.7</v>
      </c>
      <c r="I68">
        <v>283</v>
      </c>
      <c r="J68" t="s">
        <v>21</v>
      </c>
      <c r="K68" t="str">
        <f t="shared" si="7"/>
        <v>Neutral</v>
      </c>
      <c r="L68">
        <f t="shared" si="8"/>
        <v>283</v>
      </c>
      <c r="M68" t="str">
        <f t="shared" si="9"/>
        <v>Long</v>
      </c>
      <c r="N68" s="4" t="str">
        <f t="shared" si="10"/>
        <v>Saf</v>
      </c>
      <c r="O68" s="4" t="str">
        <f t="shared" si="11"/>
        <v>RANTHAMBORE</v>
      </c>
      <c r="P68" s="4" t="str">
        <f t="shared" si="12"/>
        <v>Too Crowded</v>
      </c>
      <c r="Q68" s="4">
        <f t="shared" si="13"/>
        <v>11</v>
      </c>
    </row>
    <row r="69" spans="1:17">
      <c r="A69">
        <v>1068</v>
      </c>
      <c r="B69" t="s">
        <v>96</v>
      </c>
      <c r="C69" t="s">
        <v>18</v>
      </c>
      <c r="D69" t="s">
        <v>37</v>
      </c>
      <c r="E69" s="1">
        <v>45374</v>
      </c>
      <c r="F69">
        <v>181</v>
      </c>
      <c r="G69" t="s">
        <v>25</v>
      </c>
      <c r="H69">
        <v>2.9</v>
      </c>
      <c r="I69">
        <v>375</v>
      </c>
      <c r="J69" t="s">
        <v>32</v>
      </c>
      <c r="K69" t="str">
        <f t="shared" si="7"/>
        <v>Bad</v>
      </c>
      <c r="L69">
        <f t="shared" si="8"/>
        <v>375</v>
      </c>
      <c r="M69" t="str">
        <f t="shared" si="9"/>
        <v>Very Long</v>
      </c>
      <c r="N69" s="4" t="str">
        <f t="shared" si="10"/>
        <v>Bir</v>
      </c>
      <c r="O69" s="4" t="str">
        <f t="shared" si="11"/>
        <v>SUNDARBANS</v>
      </c>
      <c r="P69" s="4" t="str">
        <f t="shared" si="12"/>
        <v>No Comments</v>
      </c>
      <c r="Q69" s="4">
        <f t="shared" si="13"/>
        <v>10</v>
      </c>
    </row>
    <row r="70" spans="1:17">
      <c r="A70">
        <v>1069</v>
      </c>
      <c r="B70" t="s">
        <v>22</v>
      </c>
      <c r="C70" t="s">
        <v>18</v>
      </c>
      <c r="D70" t="s">
        <v>29</v>
      </c>
      <c r="E70" s="1">
        <v>45632</v>
      </c>
      <c r="F70">
        <v>95</v>
      </c>
      <c r="G70" t="s">
        <v>25</v>
      </c>
      <c r="H70">
        <v>3.2</v>
      </c>
      <c r="I70">
        <v>436</v>
      </c>
      <c r="J70" t="s">
        <v>50</v>
      </c>
      <c r="K70" t="str">
        <f t="shared" si="7"/>
        <v>Neutral</v>
      </c>
      <c r="L70">
        <f t="shared" si="8"/>
        <v>436</v>
      </c>
      <c r="M70" t="str">
        <f t="shared" si="9"/>
        <v>Long</v>
      </c>
      <c r="N70" s="4" t="str">
        <f t="shared" si="10"/>
        <v>Hik</v>
      </c>
      <c r="O70" s="4" t="str">
        <f t="shared" si="11"/>
        <v>SUNDARBANS</v>
      </c>
      <c r="P70" s="4" t="str">
        <f t="shared" si="12"/>
        <v>Saw Rare Species</v>
      </c>
      <c r="Q70" s="4">
        <f t="shared" si="13"/>
        <v>11</v>
      </c>
    </row>
    <row r="71" spans="1:17">
      <c r="A71">
        <v>1070</v>
      </c>
      <c r="B71" t="s">
        <v>97</v>
      </c>
      <c r="C71" t="s">
        <v>34</v>
      </c>
      <c r="D71" t="s">
        <v>53</v>
      </c>
      <c r="E71" s="1">
        <v>45626</v>
      </c>
      <c r="F71">
        <v>69</v>
      </c>
      <c r="G71" t="s">
        <v>20</v>
      </c>
      <c r="H71">
        <v>3.8</v>
      </c>
      <c r="I71">
        <v>237</v>
      </c>
      <c r="J71" t="s">
        <v>66</v>
      </c>
      <c r="K71" t="str">
        <f t="shared" si="7"/>
        <v>Neutral</v>
      </c>
      <c r="L71">
        <f t="shared" si="8"/>
        <v>237</v>
      </c>
      <c r="M71" t="str">
        <f t="shared" si="9"/>
        <v>Medium</v>
      </c>
      <c r="N71" s="4" t="str">
        <f t="shared" si="10"/>
        <v>Boa</v>
      </c>
      <c r="O71" s="4" t="str">
        <f t="shared" si="11"/>
        <v>GIR</v>
      </c>
      <c r="P71" s="4" t="str">
        <f t="shared" si="12"/>
        <v>Amazing Experience</v>
      </c>
      <c r="Q71" s="4">
        <f t="shared" si="13"/>
        <v>11</v>
      </c>
    </row>
    <row r="72" spans="1:17">
      <c r="A72">
        <v>1071</v>
      </c>
      <c r="B72" t="s">
        <v>39</v>
      </c>
      <c r="C72" t="s">
        <v>28</v>
      </c>
      <c r="D72" t="s">
        <v>53</v>
      </c>
      <c r="E72" s="1">
        <v>45506</v>
      </c>
      <c r="F72">
        <v>129</v>
      </c>
      <c r="G72" t="s">
        <v>20</v>
      </c>
      <c r="H72">
        <v>4.9000000000000004</v>
      </c>
      <c r="I72">
        <v>329</v>
      </c>
      <c r="J72" t="s">
        <v>68</v>
      </c>
      <c r="K72" t="str">
        <f t="shared" si="7"/>
        <v>Good</v>
      </c>
      <c r="L72">
        <f t="shared" si="8"/>
        <v>329</v>
      </c>
      <c r="M72" t="str">
        <f t="shared" si="9"/>
        <v>Long</v>
      </c>
      <c r="N72" s="4" t="str">
        <f t="shared" si="10"/>
        <v>Boa</v>
      </c>
      <c r="O72" s="4" t="str">
        <f t="shared" si="11"/>
        <v>PERIYAR</v>
      </c>
      <c r="P72" s="4" t="str">
        <f t="shared" si="12"/>
        <v>Average Service</v>
      </c>
      <c r="Q72" s="4">
        <f t="shared" si="13"/>
        <v>11</v>
      </c>
    </row>
    <row r="73" spans="1:17">
      <c r="A73">
        <v>1072</v>
      </c>
      <c r="B73" t="s">
        <v>98</v>
      </c>
      <c r="C73" t="s">
        <v>18</v>
      </c>
      <c r="D73" t="s">
        <v>24</v>
      </c>
      <c r="E73" s="1">
        <v>45371</v>
      </c>
      <c r="F73">
        <v>81</v>
      </c>
      <c r="G73" t="s">
        <v>20</v>
      </c>
      <c r="H73">
        <v>4.9000000000000004</v>
      </c>
      <c r="I73">
        <v>136</v>
      </c>
      <c r="J73" t="s">
        <v>35</v>
      </c>
      <c r="K73" t="str">
        <f t="shared" si="7"/>
        <v>Good</v>
      </c>
      <c r="L73">
        <f t="shared" si="8"/>
        <v>136</v>
      </c>
      <c r="M73" t="str">
        <f t="shared" si="9"/>
        <v>Medium</v>
      </c>
      <c r="N73" s="4" t="str">
        <f t="shared" si="10"/>
        <v>Saf</v>
      </c>
      <c r="O73" s="4" t="str">
        <f t="shared" si="11"/>
        <v>SUNDARBANS</v>
      </c>
      <c r="P73" s="4" t="str">
        <f t="shared" si="12"/>
        <v>Very Enjoyable</v>
      </c>
      <c r="Q73" s="4">
        <f t="shared" si="13"/>
        <v>11</v>
      </c>
    </row>
    <row r="74" spans="1:17">
      <c r="A74">
        <v>1073</v>
      </c>
      <c r="B74" t="s">
        <v>74</v>
      </c>
      <c r="C74" t="s">
        <v>45</v>
      </c>
      <c r="D74" t="s">
        <v>53</v>
      </c>
      <c r="E74" s="1">
        <v>45526</v>
      </c>
      <c r="F74">
        <v>159</v>
      </c>
      <c r="G74" t="s">
        <v>25</v>
      </c>
      <c r="H74">
        <v>2.9</v>
      </c>
      <c r="I74">
        <v>409</v>
      </c>
      <c r="J74" t="s">
        <v>54</v>
      </c>
      <c r="K74" t="str">
        <f t="shared" si="7"/>
        <v>Bad</v>
      </c>
      <c r="L74">
        <f t="shared" si="8"/>
        <v>409</v>
      </c>
      <c r="M74" t="str">
        <f t="shared" si="9"/>
        <v>Long</v>
      </c>
      <c r="N74" s="4" t="str">
        <f t="shared" si="10"/>
        <v>Boa</v>
      </c>
      <c r="O74" s="4" t="str">
        <f t="shared" si="11"/>
        <v>KANHA</v>
      </c>
      <c r="P74" s="4" t="str">
        <f t="shared" si="12"/>
        <v>Could Be Cleaner</v>
      </c>
      <c r="Q74" s="4">
        <f t="shared" si="13"/>
        <v>10</v>
      </c>
    </row>
    <row r="75" spans="1:17">
      <c r="A75">
        <v>1074</v>
      </c>
      <c r="B75" t="s">
        <v>31</v>
      </c>
      <c r="C75" t="s">
        <v>43</v>
      </c>
      <c r="D75" t="s">
        <v>53</v>
      </c>
      <c r="E75" s="1">
        <v>45543</v>
      </c>
      <c r="F75">
        <v>185</v>
      </c>
      <c r="G75" t="s">
        <v>46</v>
      </c>
      <c r="H75">
        <v>4.4000000000000004</v>
      </c>
      <c r="I75">
        <v>440</v>
      </c>
      <c r="J75" t="s">
        <v>32</v>
      </c>
      <c r="K75" t="str">
        <f t="shared" si="7"/>
        <v>Good</v>
      </c>
      <c r="L75">
        <f t="shared" si="8"/>
        <v>440</v>
      </c>
      <c r="M75" t="str">
        <f t="shared" si="9"/>
        <v>Very Long</v>
      </c>
      <c r="N75" s="4" t="str">
        <f t="shared" si="10"/>
        <v>Boa</v>
      </c>
      <c r="O75" s="4" t="str">
        <f t="shared" si="11"/>
        <v>RANTHAMBORE</v>
      </c>
      <c r="P75" s="4" t="str">
        <f t="shared" si="12"/>
        <v>No Comments</v>
      </c>
      <c r="Q75" s="4">
        <f t="shared" si="13"/>
        <v>9</v>
      </c>
    </row>
    <row r="76" spans="1:17">
      <c r="A76">
        <v>1075</v>
      </c>
      <c r="B76" t="s">
        <v>99</v>
      </c>
      <c r="C76" t="s">
        <v>34</v>
      </c>
      <c r="D76" t="s">
        <v>29</v>
      </c>
      <c r="E76" s="1">
        <v>45343</v>
      </c>
      <c r="F76">
        <v>148</v>
      </c>
      <c r="G76" t="s">
        <v>20</v>
      </c>
      <c r="H76">
        <v>2.7</v>
      </c>
      <c r="I76">
        <v>239</v>
      </c>
      <c r="J76" t="s">
        <v>54</v>
      </c>
      <c r="K76" t="str">
        <f t="shared" si="7"/>
        <v>Bad</v>
      </c>
      <c r="L76">
        <f t="shared" si="8"/>
        <v>239</v>
      </c>
      <c r="M76" t="str">
        <f t="shared" si="9"/>
        <v>Long</v>
      </c>
      <c r="N76" s="4" t="str">
        <f t="shared" si="10"/>
        <v>Hik</v>
      </c>
      <c r="O76" s="4" t="str">
        <f t="shared" si="11"/>
        <v>GIR</v>
      </c>
      <c r="P76" s="4" t="str">
        <f t="shared" si="12"/>
        <v>Could Be Cleaner</v>
      </c>
      <c r="Q76" s="4">
        <f t="shared" si="13"/>
        <v>11</v>
      </c>
    </row>
    <row r="77" spans="1:17">
      <c r="A77">
        <v>1076</v>
      </c>
      <c r="B77" t="s">
        <v>100</v>
      </c>
      <c r="C77" t="s">
        <v>23</v>
      </c>
      <c r="D77" t="s">
        <v>37</v>
      </c>
      <c r="E77" s="1">
        <v>45307</v>
      </c>
      <c r="F77">
        <v>25</v>
      </c>
      <c r="G77" t="s">
        <v>38</v>
      </c>
      <c r="H77">
        <v>2.5</v>
      </c>
      <c r="I77">
        <v>239</v>
      </c>
      <c r="J77" t="s">
        <v>21</v>
      </c>
      <c r="K77" t="str">
        <f t="shared" si="7"/>
        <v>Bad</v>
      </c>
      <c r="L77">
        <f t="shared" si="8"/>
        <v>239</v>
      </c>
      <c r="M77" t="str">
        <f t="shared" si="9"/>
        <v>Short</v>
      </c>
      <c r="N77" s="4" t="str">
        <f t="shared" si="10"/>
        <v>Bir</v>
      </c>
      <c r="O77" s="4" t="str">
        <f t="shared" si="11"/>
        <v>BANDHAVGARH</v>
      </c>
      <c r="P77" s="4" t="str">
        <f t="shared" si="12"/>
        <v>Too Crowded</v>
      </c>
      <c r="Q77" s="4">
        <f t="shared" si="13"/>
        <v>11</v>
      </c>
    </row>
    <row r="78" spans="1:17">
      <c r="A78">
        <v>1077</v>
      </c>
      <c r="B78" t="s">
        <v>69</v>
      </c>
      <c r="C78" t="s">
        <v>34</v>
      </c>
      <c r="D78" t="s">
        <v>48</v>
      </c>
      <c r="E78" s="1">
        <v>45535</v>
      </c>
      <c r="F78">
        <v>111</v>
      </c>
      <c r="G78" t="s">
        <v>46</v>
      </c>
      <c r="H78">
        <v>2.6</v>
      </c>
      <c r="I78">
        <v>480</v>
      </c>
      <c r="J78" t="s">
        <v>68</v>
      </c>
      <c r="K78" t="str">
        <f t="shared" si="7"/>
        <v>Bad</v>
      </c>
      <c r="L78">
        <f t="shared" si="8"/>
        <v>480</v>
      </c>
      <c r="M78" t="str">
        <f t="shared" si="9"/>
        <v>Long</v>
      </c>
      <c r="N78" s="4" t="str">
        <f t="shared" si="10"/>
        <v>Cam</v>
      </c>
      <c r="O78" s="4" t="str">
        <f t="shared" si="11"/>
        <v>GIR</v>
      </c>
      <c r="P78" s="4" t="str">
        <f t="shared" si="12"/>
        <v>Average Service</v>
      </c>
      <c r="Q78" s="4">
        <f t="shared" si="13"/>
        <v>12</v>
      </c>
    </row>
    <row r="79" spans="1:17">
      <c r="A79">
        <v>1078</v>
      </c>
      <c r="B79" t="s">
        <v>79</v>
      </c>
      <c r="C79" t="s">
        <v>23</v>
      </c>
      <c r="D79" t="s">
        <v>53</v>
      </c>
      <c r="E79" s="1">
        <v>45636</v>
      </c>
      <c r="F79">
        <v>127</v>
      </c>
      <c r="G79" t="s">
        <v>25</v>
      </c>
      <c r="H79">
        <v>4.0999999999999996</v>
      </c>
      <c r="I79">
        <v>371</v>
      </c>
      <c r="J79" t="s">
        <v>66</v>
      </c>
      <c r="K79" t="str">
        <f t="shared" si="7"/>
        <v>Good</v>
      </c>
      <c r="L79">
        <f t="shared" si="8"/>
        <v>371</v>
      </c>
      <c r="M79" t="str">
        <f t="shared" si="9"/>
        <v>Long</v>
      </c>
      <c r="N79" s="4" t="str">
        <f t="shared" si="10"/>
        <v>Boa</v>
      </c>
      <c r="O79" s="4" t="str">
        <f t="shared" si="11"/>
        <v>BANDHAVGARH</v>
      </c>
      <c r="P79" s="4" t="str">
        <f t="shared" si="12"/>
        <v>Amazing Experience</v>
      </c>
      <c r="Q79" s="4">
        <f t="shared" si="13"/>
        <v>11</v>
      </c>
    </row>
    <row r="80" spans="1:17">
      <c r="A80">
        <v>1079</v>
      </c>
      <c r="B80" t="s">
        <v>101</v>
      </c>
      <c r="C80" t="s">
        <v>28</v>
      </c>
      <c r="D80" t="s">
        <v>29</v>
      </c>
      <c r="E80" s="1">
        <v>45494</v>
      </c>
      <c r="F80">
        <v>78</v>
      </c>
      <c r="G80" t="s">
        <v>38</v>
      </c>
      <c r="H80">
        <v>4.3</v>
      </c>
      <c r="I80">
        <v>111</v>
      </c>
      <c r="J80" t="s">
        <v>68</v>
      </c>
      <c r="K80" t="str">
        <f t="shared" si="7"/>
        <v>Good</v>
      </c>
      <c r="L80">
        <f t="shared" si="8"/>
        <v>111</v>
      </c>
      <c r="M80" t="str">
        <f t="shared" si="9"/>
        <v>Medium</v>
      </c>
      <c r="N80" s="4" t="str">
        <f t="shared" si="10"/>
        <v>Hik</v>
      </c>
      <c r="O80" s="4" t="str">
        <f t="shared" si="11"/>
        <v>PERIYAR</v>
      </c>
      <c r="P80" s="4" t="str">
        <f t="shared" si="12"/>
        <v>Average Service</v>
      </c>
      <c r="Q80" s="4">
        <f t="shared" si="13"/>
        <v>11</v>
      </c>
    </row>
    <row r="81" spans="1:17">
      <c r="A81">
        <v>1080</v>
      </c>
      <c r="B81" t="s">
        <v>61</v>
      </c>
      <c r="C81" t="s">
        <v>34</v>
      </c>
      <c r="D81" t="s">
        <v>19</v>
      </c>
      <c r="E81" s="1">
        <v>45500</v>
      </c>
      <c r="F81">
        <v>58</v>
      </c>
      <c r="G81" t="s">
        <v>46</v>
      </c>
      <c r="H81">
        <v>4</v>
      </c>
      <c r="I81">
        <v>219</v>
      </c>
      <c r="J81" t="s">
        <v>35</v>
      </c>
      <c r="K81" t="str">
        <f t="shared" si="7"/>
        <v>Neutral</v>
      </c>
      <c r="L81">
        <f t="shared" si="8"/>
        <v>219</v>
      </c>
      <c r="M81" t="str">
        <f t="shared" si="9"/>
        <v>Medium</v>
      </c>
      <c r="N81" s="4" t="str">
        <f t="shared" si="10"/>
        <v>Pho</v>
      </c>
      <c r="O81" s="4" t="str">
        <f t="shared" si="11"/>
        <v>GIR</v>
      </c>
      <c r="P81" s="4" t="str">
        <f t="shared" si="12"/>
        <v>Very Enjoyable</v>
      </c>
      <c r="Q81" s="4">
        <f t="shared" si="13"/>
        <v>11</v>
      </c>
    </row>
    <row r="82" spans="1:17">
      <c r="A82">
        <v>1081</v>
      </c>
      <c r="B82" t="s">
        <v>49</v>
      </c>
      <c r="C82" t="s">
        <v>28</v>
      </c>
      <c r="D82" t="s">
        <v>19</v>
      </c>
      <c r="E82" s="1">
        <v>45639</v>
      </c>
      <c r="F82">
        <v>121</v>
      </c>
      <c r="G82" t="s">
        <v>20</v>
      </c>
      <c r="H82">
        <v>3</v>
      </c>
      <c r="I82">
        <v>390</v>
      </c>
      <c r="J82" t="s">
        <v>68</v>
      </c>
      <c r="K82" t="str">
        <f t="shared" si="7"/>
        <v>Neutral</v>
      </c>
      <c r="L82">
        <f t="shared" si="8"/>
        <v>390</v>
      </c>
      <c r="M82" t="str">
        <f t="shared" si="9"/>
        <v>Long</v>
      </c>
      <c r="N82" s="4" t="str">
        <f t="shared" si="10"/>
        <v>Pho</v>
      </c>
      <c r="O82" s="4" t="str">
        <f t="shared" si="11"/>
        <v>PERIYAR</v>
      </c>
      <c r="P82" s="4" t="str">
        <f t="shared" si="12"/>
        <v>Average Service</v>
      </c>
      <c r="Q82" s="4">
        <f t="shared" si="13"/>
        <v>11</v>
      </c>
    </row>
    <row r="83" spans="1:17">
      <c r="A83">
        <v>1082</v>
      </c>
      <c r="B83" t="s">
        <v>102</v>
      </c>
      <c r="C83" t="s">
        <v>34</v>
      </c>
      <c r="D83" t="s">
        <v>53</v>
      </c>
      <c r="E83" s="1">
        <v>45370</v>
      </c>
      <c r="F83">
        <v>49</v>
      </c>
      <c r="G83" t="s">
        <v>38</v>
      </c>
      <c r="H83">
        <v>2.9</v>
      </c>
      <c r="I83">
        <v>119</v>
      </c>
      <c r="J83" t="s">
        <v>66</v>
      </c>
      <c r="K83" t="str">
        <f t="shared" si="7"/>
        <v>Bad</v>
      </c>
      <c r="L83">
        <f t="shared" si="8"/>
        <v>119</v>
      </c>
      <c r="M83" t="str">
        <f t="shared" si="9"/>
        <v>Medium</v>
      </c>
      <c r="N83" s="4" t="str">
        <f t="shared" si="10"/>
        <v>Boa</v>
      </c>
      <c r="O83" s="4" t="str">
        <f t="shared" si="11"/>
        <v>GIR</v>
      </c>
      <c r="P83" s="4" t="str">
        <f t="shared" si="12"/>
        <v>Amazing Experience</v>
      </c>
      <c r="Q83" s="4">
        <f t="shared" si="13"/>
        <v>12</v>
      </c>
    </row>
    <row r="84" spans="1:17">
      <c r="A84">
        <v>1083</v>
      </c>
      <c r="B84" t="s">
        <v>103</v>
      </c>
      <c r="C84" t="s">
        <v>43</v>
      </c>
      <c r="D84" t="s">
        <v>29</v>
      </c>
      <c r="E84" s="1">
        <v>45413</v>
      </c>
      <c r="F84">
        <v>158</v>
      </c>
      <c r="G84" t="s">
        <v>25</v>
      </c>
      <c r="H84">
        <v>3.4</v>
      </c>
      <c r="I84">
        <v>366</v>
      </c>
      <c r="J84" t="s">
        <v>54</v>
      </c>
      <c r="K84" t="str">
        <f t="shared" si="7"/>
        <v>Neutral</v>
      </c>
      <c r="L84">
        <f t="shared" si="8"/>
        <v>366</v>
      </c>
      <c r="M84" t="str">
        <f t="shared" si="9"/>
        <v>Long</v>
      </c>
      <c r="N84" s="4" t="str">
        <f t="shared" si="10"/>
        <v>Hik</v>
      </c>
      <c r="O84" s="4" t="str">
        <f t="shared" si="11"/>
        <v>RANTHAMBORE</v>
      </c>
      <c r="P84" s="4" t="str">
        <f t="shared" si="12"/>
        <v>Could Be Cleaner</v>
      </c>
      <c r="Q84" s="4">
        <f t="shared" si="13"/>
        <v>11</v>
      </c>
    </row>
    <row r="85" spans="1:17">
      <c r="A85">
        <v>1084</v>
      </c>
      <c r="B85" t="s">
        <v>22</v>
      </c>
      <c r="C85" t="s">
        <v>52</v>
      </c>
      <c r="D85" t="s">
        <v>19</v>
      </c>
      <c r="E85" s="1">
        <v>45578</v>
      </c>
      <c r="F85">
        <v>227</v>
      </c>
      <c r="G85" t="s">
        <v>46</v>
      </c>
      <c r="H85">
        <v>3.5</v>
      </c>
      <c r="I85">
        <v>413</v>
      </c>
      <c r="J85" t="s">
        <v>21</v>
      </c>
      <c r="K85" t="str">
        <f t="shared" si="7"/>
        <v>Neutral</v>
      </c>
      <c r="L85">
        <f t="shared" si="8"/>
        <v>413</v>
      </c>
      <c r="M85" t="str">
        <f t="shared" si="9"/>
        <v>Very Long</v>
      </c>
      <c r="N85" s="4" t="str">
        <f t="shared" si="10"/>
        <v>Pho</v>
      </c>
      <c r="O85" s="4" t="str">
        <f t="shared" si="11"/>
        <v>KAZIRANGA</v>
      </c>
      <c r="P85" s="4" t="str">
        <f t="shared" si="12"/>
        <v>Too Crowded</v>
      </c>
      <c r="Q85" s="4">
        <f t="shared" si="13"/>
        <v>11</v>
      </c>
    </row>
    <row r="86" spans="1:17">
      <c r="A86">
        <v>1085</v>
      </c>
      <c r="B86" t="s">
        <v>72</v>
      </c>
      <c r="C86" t="s">
        <v>41</v>
      </c>
      <c r="D86" t="s">
        <v>19</v>
      </c>
      <c r="E86" s="1">
        <v>45455</v>
      </c>
      <c r="F86">
        <v>108</v>
      </c>
      <c r="G86" t="s">
        <v>20</v>
      </c>
      <c r="H86">
        <v>4.8</v>
      </c>
      <c r="I86">
        <v>500</v>
      </c>
      <c r="J86" t="s">
        <v>68</v>
      </c>
      <c r="K86" t="str">
        <f t="shared" si="7"/>
        <v>Good</v>
      </c>
      <c r="L86">
        <f t="shared" si="8"/>
        <v>500</v>
      </c>
      <c r="M86" t="str">
        <f t="shared" si="9"/>
        <v>Long</v>
      </c>
      <c r="N86" s="4" t="str">
        <f t="shared" si="10"/>
        <v>Pho</v>
      </c>
      <c r="O86" s="4" t="str">
        <f t="shared" si="11"/>
        <v>JIM CORBETT</v>
      </c>
      <c r="P86" s="4" t="str">
        <f t="shared" si="12"/>
        <v>Average Service</v>
      </c>
      <c r="Q86" s="4">
        <f t="shared" si="13"/>
        <v>10</v>
      </c>
    </row>
    <row r="87" spans="1:17">
      <c r="A87">
        <v>1086</v>
      </c>
      <c r="B87" t="s">
        <v>33</v>
      </c>
      <c r="C87" t="s">
        <v>41</v>
      </c>
      <c r="D87" t="s">
        <v>53</v>
      </c>
      <c r="E87" s="1">
        <v>45619</v>
      </c>
      <c r="F87">
        <v>194</v>
      </c>
      <c r="G87" t="s">
        <v>38</v>
      </c>
      <c r="H87">
        <v>4.0999999999999996</v>
      </c>
      <c r="I87">
        <v>314</v>
      </c>
      <c r="J87" t="s">
        <v>50</v>
      </c>
      <c r="K87" t="str">
        <f t="shared" si="7"/>
        <v>Good</v>
      </c>
      <c r="L87">
        <f t="shared" si="8"/>
        <v>314</v>
      </c>
      <c r="M87" t="str">
        <f t="shared" si="9"/>
        <v>Very Long</v>
      </c>
      <c r="N87" s="4" t="str">
        <f t="shared" si="10"/>
        <v>Boa</v>
      </c>
      <c r="O87" s="4" t="str">
        <f t="shared" si="11"/>
        <v>JIM CORBETT</v>
      </c>
      <c r="P87" s="4" t="str">
        <f t="shared" si="12"/>
        <v>Saw Rare Species</v>
      </c>
      <c r="Q87" s="4">
        <f t="shared" si="13"/>
        <v>12</v>
      </c>
    </row>
    <row r="88" spans="1:17">
      <c r="A88">
        <v>1087</v>
      </c>
      <c r="B88" t="s">
        <v>104</v>
      </c>
      <c r="C88" t="s">
        <v>41</v>
      </c>
      <c r="D88" t="s">
        <v>48</v>
      </c>
      <c r="E88" s="1">
        <v>45349</v>
      </c>
      <c r="F88">
        <v>232</v>
      </c>
      <c r="G88" t="s">
        <v>46</v>
      </c>
      <c r="H88">
        <v>4.0999999999999996</v>
      </c>
      <c r="I88">
        <v>470</v>
      </c>
      <c r="J88" t="s">
        <v>26</v>
      </c>
      <c r="K88" t="str">
        <f t="shared" si="7"/>
        <v>Good</v>
      </c>
      <c r="L88">
        <f t="shared" si="8"/>
        <v>470</v>
      </c>
      <c r="M88" t="str">
        <f t="shared" si="9"/>
        <v>Very Long</v>
      </c>
      <c r="N88" s="4" t="str">
        <f t="shared" si="10"/>
        <v>Cam</v>
      </c>
      <c r="O88" s="4" t="str">
        <f t="shared" si="11"/>
        <v>JIM CORBETT</v>
      </c>
      <c r="P88" s="4" t="str">
        <f t="shared" si="12"/>
        <v>Excellent Wildlife View</v>
      </c>
      <c r="Q88" s="4">
        <f t="shared" si="13"/>
        <v>11</v>
      </c>
    </row>
    <row r="89" spans="1:17">
      <c r="A89">
        <v>1088</v>
      </c>
      <c r="B89" t="s">
        <v>105</v>
      </c>
      <c r="C89" t="s">
        <v>23</v>
      </c>
      <c r="D89" t="s">
        <v>48</v>
      </c>
      <c r="E89" s="1">
        <v>45370</v>
      </c>
      <c r="F89">
        <v>145</v>
      </c>
      <c r="G89" t="s">
        <v>20</v>
      </c>
      <c r="H89">
        <v>2.8</v>
      </c>
      <c r="I89">
        <v>180</v>
      </c>
      <c r="J89" t="s">
        <v>73</v>
      </c>
      <c r="K89" t="str">
        <f t="shared" si="7"/>
        <v>Bad</v>
      </c>
      <c r="L89">
        <f t="shared" si="8"/>
        <v>180</v>
      </c>
      <c r="M89" t="str">
        <f t="shared" si="9"/>
        <v>Long</v>
      </c>
      <c r="N89" s="4" t="str">
        <f t="shared" si="10"/>
        <v>Cam</v>
      </c>
      <c r="O89" s="4" t="str">
        <f t="shared" si="11"/>
        <v>BANDHAVGARH</v>
      </c>
      <c r="P89" s="4" t="str">
        <f t="shared" si="12"/>
        <v>Peaceful Environment</v>
      </c>
      <c r="Q89" s="4">
        <f t="shared" si="13"/>
        <v>12</v>
      </c>
    </row>
    <row r="90" spans="1:17">
      <c r="A90">
        <v>1089</v>
      </c>
      <c r="B90" t="s">
        <v>106</v>
      </c>
      <c r="C90" t="s">
        <v>41</v>
      </c>
      <c r="D90" t="s">
        <v>37</v>
      </c>
      <c r="E90" s="1">
        <v>45295</v>
      </c>
      <c r="F90">
        <v>73</v>
      </c>
      <c r="G90" t="s">
        <v>25</v>
      </c>
      <c r="H90">
        <v>4.9000000000000004</v>
      </c>
      <c r="I90">
        <v>156</v>
      </c>
      <c r="J90" t="s">
        <v>68</v>
      </c>
      <c r="K90" t="str">
        <f t="shared" si="7"/>
        <v>Good</v>
      </c>
      <c r="L90">
        <f t="shared" si="8"/>
        <v>156</v>
      </c>
      <c r="M90" t="str">
        <f t="shared" si="9"/>
        <v>Medium</v>
      </c>
      <c r="N90" s="4" t="str">
        <f t="shared" si="10"/>
        <v>Bir</v>
      </c>
      <c r="O90" s="4" t="str">
        <f t="shared" si="11"/>
        <v>JIM CORBETT</v>
      </c>
      <c r="P90" s="4" t="str">
        <f t="shared" si="12"/>
        <v>Average Service</v>
      </c>
      <c r="Q90" s="4">
        <f t="shared" si="13"/>
        <v>12</v>
      </c>
    </row>
    <row r="91" spans="1:17">
      <c r="A91">
        <v>1090</v>
      </c>
      <c r="B91" t="s">
        <v>95</v>
      </c>
      <c r="C91" t="s">
        <v>34</v>
      </c>
      <c r="D91" t="s">
        <v>19</v>
      </c>
      <c r="E91" s="1">
        <v>45304</v>
      </c>
      <c r="F91">
        <v>156</v>
      </c>
      <c r="G91" t="s">
        <v>38</v>
      </c>
      <c r="H91">
        <v>3.1</v>
      </c>
      <c r="I91">
        <v>114</v>
      </c>
      <c r="J91" t="s">
        <v>21</v>
      </c>
      <c r="K91" t="str">
        <f t="shared" si="7"/>
        <v>Neutral</v>
      </c>
      <c r="L91">
        <f t="shared" si="8"/>
        <v>114</v>
      </c>
      <c r="M91" t="str">
        <f t="shared" si="9"/>
        <v>Long</v>
      </c>
      <c r="N91" s="4" t="str">
        <f t="shared" si="10"/>
        <v>Pho</v>
      </c>
      <c r="O91" s="4" t="str">
        <f t="shared" si="11"/>
        <v>GIR</v>
      </c>
      <c r="P91" s="4" t="str">
        <f t="shared" si="12"/>
        <v>Too Crowded</v>
      </c>
      <c r="Q91" s="4">
        <f t="shared" si="13"/>
        <v>11</v>
      </c>
    </row>
    <row r="92" spans="1:17">
      <c r="A92">
        <v>1091</v>
      </c>
      <c r="B92" t="s">
        <v>76</v>
      </c>
      <c r="C92" t="s">
        <v>34</v>
      </c>
      <c r="D92" t="s">
        <v>48</v>
      </c>
      <c r="E92" s="1">
        <v>45306</v>
      </c>
      <c r="F92">
        <v>217</v>
      </c>
      <c r="G92" t="s">
        <v>20</v>
      </c>
      <c r="H92">
        <v>2.8</v>
      </c>
      <c r="I92">
        <v>215</v>
      </c>
      <c r="J92" t="s">
        <v>35</v>
      </c>
      <c r="K92" t="str">
        <f t="shared" si="7"/>
        <v>Bad</v>
      </c>
      <c r="L92">
        <f t="shared" si="8"/>
        <v>215</v>
      </c>
      <c r="M92" t="str">
        <f t="shared" si="9"/>
        <v>Very Long</v>
      </c>
      <c r="N92" s="4" t="str">
        <f t="shared" si="10"/>
        <v>Cam</v>
      </c>
      <c r="O92" s="4" t="str">
        <f t="shared" si="11"/>
        <v>GIR</v>
      </c>
      <c r="P92" s="4" t="str">
        <f t="shared" si="12"/>
        <v>Very Enjoyable</v>
      </c>
      <c r="Q92" s="4">
        <f t="shared" si="13"/>
        <v>11</v>
      </c>
    </row>
    <row r="93" spans="1:17">
      <c r="A93">
        <v>1092</v>
      </c>
      <c r="B93" t="s">
        <v>96</v>
      </c>
      <c r="C93" t="s">
        <v>41</v>
      </c>
      <c r="D93" t="s">
        <v>53</v>
      </c>
      <c r="E93" s="1">
        <v>45630</v>
      </c>
      <c r="F93">
        <v>226</v>
      </c>
      <c r="G93" t="s">
        <v>20</v>
      </c>
      <c r="H93">
        <v>3.8</v>
      </c>
      <c r="I93">
        <v>284</v>
      </c>
      <c r="J93" t="s">
        <v>50</v>
      </c>
      <c r="K93" t="str">
        <f t="shared" si="7"/>
        <v>Neutral</v>
      </c>
      <c r="L93">
        <f t="shared" si="8"/>
        <v>284</v>
      </c>
      <c r="M93" t="str">
        <f t="shared" si="9"/>
        <v>Very Long</v>
      </c>
      <c r="N93" s="4" t="str">
        <f t="shared" si="10"/>
        <v>Boa</v>
      </c>
      <c r="O93" s="4" t="str">
        <f t="shared" si="11"/>
        <v>JIM CORBETT</v>
      </c>
      <c r="P93" s="4" t="str">
        <f t="shared" si="12"/>
        <v>Saw Rare Species</v>
      </c>
      <c r="Q93" s="4">
        <f t="shared" si="13"/>
        <v>10</v>
      </c>
    </row>
    <row r="94" spans="1:17">
      <c r="A94">
        <v>1093</v>
      </c>
      <c r="B94" t="s">
        <v>59</v>
      </c>
      <c r="C94" t="s">
        <v>34</v>
      </c>
      <c r="D94" t="s">
        <v>37</v>
      </c>
      <c r="E94" s="1">
        <v>45639</v>
      </c>
      <c r="F94">
        <v>191</v>
      </c>
      <c r="G94" t="s">
        <v>46</v>
      </c>
      <c r="H94">
        <v>4.2</v>
      </c>
      <c r="I94">
        <v>300</v>
      </c>
      <c r="J94" t="s">
        <v>30</v>
      </c>
      <c r="K94" t="str">
        <f t="shared" si="7"/>
        <v>Good</v>
      </c>
      <c r="L94">
        <f t="shared" si="8"/>
        <v>300</v>
      </c>
      <c r="M94" t="str">
        <f t="shared" si="9"/>
        <v>Very Long</v>
      </c>
      <c r="N94" s="4" t="str">
        <f t="shared" si="10"/>
        <v>Bir</v>
      </c>
      <c r="O94" s="4" t="str">
        <f t="shared" si="11"/>
        <v>GIR</v>
      </c>
      <c r="P94" s="4" t="str">
        <f t="shared" si="12"/>
        <v>Good Guide Support</v>
      </c>
      <c r="Q94" s="4">
        <f t="shared" si="13"/>
        <v>11</v>
      </c>
    </row>
    <row r="95" spans="1:17">
      <c r="A95">
        <v>1094</v>
      </c>
      <c r="B95" t="s">
        <v>33</v>
      </c>
      <c r="C95" t="s">
        <v>28</v>
      </c>
      <c r="D95" t="s">
        <v>37</v>
      </c>
      <c r="E95" s="1">
        <v>45340</v>
      </c>
      <c r="F95">
        <v>235</v>
      </c>
      <c r="G95" t="s">
        <v>20</v>
      </c>
      <c r="H95">
        <v>3.5</v>
      </c>
      <c r="I95">
        <v>338</v>
      </c>
      <c r="J95" t="s">
        <v>50</v>
      </c>
      <c r="K95" t="str">
        <f t="shared" si="7"/>
        <v>Neutral</v>
      </c>
      <c r="L95">
        <f t="shared" si="8"/>
        <v>338</v>
      </c>
      <c r="M95" t="str">
        <f t="shared" si="9"/>
        <v>Very Long</v>
      </c>
      <c r="N95" s="4" t="str">
        <f t="shared" si="10"/>
        <v>Bir</v>
      </c>
      <c r="O95" s="4" t="str">
        <f t="shared" si="11"/>
        <v>PERIYAR</v>
      </c>
      <c r="P95" s="4" t="str">
        <f t="shared" si="12"/>
        <v>Saw Rare Species</v>
      </c>
      <c r="Q95" s="4">
        <f t="shared" si="13"/>
        <v>12</v>
      </c>
    </row>
    <row r="96" spans="1:17">
      <c r="A96">
        <v>1095</v>
      </c>
      <c r="B96" t="s">
        <v>17</v>
      </c>
      <c r="C96" t="s">
        <v>45</v>
      </c>
      <c r="D96" t="s">
        <v>37</v>
      </c>
      <c r="E96" s="1">
        <v>45292</v>
      </c>
      <c r="F96">
        <v>75</v>
      </c>
      <c r="G96" t="s">
        <v>25</v>
      </c>
      <c r="H96">
        <v>4.7</v>
      </c>
      <c r="I96">
        <v>162</v>
      </c>
      <c r="J96" t="s">
        <v>66</v>
      </c>
      <c r="K96" t="str">
        <f t="shared" si="7"/>
        <v>Good</v>
      </c>
      <c r="L96">
        <f t="shared" si="8"/>
        <v>162</v>
      </c>
      <c r="M96" t="str">
        <f t="shared" si="9"/>
        <v>Medium</v>
      </c>
      <c r="N96" s="4" t="str">
        <f t="shared" si="10"/>
        <v>Bir</v>
      </c>
      <c r="O96" s="4" t="str">
        <f t="shared" si="11"/>
        <v>KANHA</v>
      </c>
      <c r="P96" s="4" t="str">
        <f t="shared" si="12"/>
        <v>Amazing Experience</v>
      </c>
      <c r="Q96" s="4">
        <f t="shared" si="13"/>
        <v>11</v>
      </c>
    </row>
    <row r="97" spans="1:17">
      <c r="A97">
        <v>1096</v>
      </c>
      <c r="B97" t="s">
        <v>107</v>
      </c>
      <c r="C97" t="s">
        <v>45</v>
      </c>
      <c r="D97" t="s">
        <v>19</v>
      </c>
      <c r="E97" s="1">
        <v>45557</v>
      </c>
      <c r="F97">
        <v>182</v>
      </c>
      <c r="G97" t="s">
        <v>20</v>
      </c>
      <c r="H97">
        <v>5</v>
      </c>
      <c r="I97">
        <v>434</v>
      </c>
      <c r="J97" t="s">
        <v>66</v>
      </c>
      <c r="K97" t="str">
        <f t="shared" si="7"/>
        <v>Good</v>
      </c>
      <c r="L97">
        <f t="shared" si="8"/>
        <v>434</v>
      </c>
      <c r="M97" t="str">
        <f t="shared" si="9"/>
        <v>Very Long</v>
      </c>
      <c r="N97" s="4" t="str">
        <f t="shared" si="10"/>
        <v>Pho</v>
      </c>
      <c r="O97" s="4" t="str">
        <f t="shared" si="11"/>
        <v>KANHA</v>
      </c>
      <c r="P97" s="4" t="str">
        <f t="shared" si="12"/>
        <v>Amazing Experience</v>
      </c>
      <c r="Q97" s="4">
        <f t="shared" si="13"/>
        <v>11</v>
      </c>
    </row>
    <row r="98" spans="1:17">
      <c r="A98">
        <v>1097</v>
      </c>
      <c r="B98" t="s">
        <v>51</v>
      </c>
      <c r="C98" t="s">
        <v>34</v>
      </c>
      <c r="D98" t="s">
        <v>53</v>
      </c>
      <c r="E98" s="1">
        <v>45339</v>
      </c>
      <c r="F98">
        <v>134</v>
      </c>
      <c r="G98" t="s">
        <v>38</v>
      </c>
      <c r="H98">
        <v>4.7</v>
      </c>
      <c r="I98">
        <v>185</v>
      </c>
      <c r="J98" t="s">
        <v>50</v>
      </c>
      <c r="K98" t="str">
        <f t="shared" si="7"/>
        <v>Good</v>
      </c>
      <c r="L98">
        <f t="shared" si="8"/>
        <v>185</v>
      </c>
      <c r="M98" t="str">
        <f t="shared" si="9"/>
        <v>Long</v>
      </c>
      <c r="N98" s="4" t="str">
        <f t="shared" si="10"/>
        <v>Boa</v>
      </c>
      <c r="O98" s="4" t="str">
        <f t="shared" si="11"/>
        <v>GIR</v>
      </c>
      <c r="P98" s="4" t="str">
        <f t="shared" si="12"/>
        <v>Saw Rare Species</v>
      </c>
      <c r="Q98" s="4">
        <f t="shared" si="13"/>
        <v>11</v>
      </c>
    </row>
    <row r="99" spans="1:17">
      <c r="A99">
        <v>1098</v>
      </c>
      <c r="B99" t="s">
        <v>99</v>
      </c>
      <c r="C99" t="s">
        <v>23</v>
      </c>
      <c r="D99" t="s">
        <v>48</v>
      </c>
      <c r="E99" s="1">
        <v>45339</v>
      </c>
      <c r="F99">
        <v>47</v>
      </c>
      <c r="G99" t="s">
        <v>46</v>
      </c>
      <c r="H99">
        <v>4.9000000000000004</v>
      </c>
      <c r="I99">
        <v>110</v>
      </c>
      <c r="J99" t="s">
        <v>26</v>
      </c>
      <c r="K99" t="str">
        <f t="shared" si="7"/>
        <v>Good</v>
      </c>
      <c r="L99">
        <f t="shared" si="8"/>
        <v>110</v>
      </c>
      <c r="M99" t="str">
        <f t="shared" si="9"/>
        <v>Medium</v>
      </c>
      <c r="N99" s="4" t="str">
        <f t="shared" si="10"/>
        <v>Cam</v>
      </c>
      <c r="O99" s="4" t="str">
        <f t="shared" si="11"/>
        <v>BANDHAVGARH</v>
      </c>
      <c r="P99" s="4" t="str">
        <f t="shared" si="12"/>
        <v>Excellent Wildlife View</v>
      </c>
      <c r="Q99" s="4">
        <f t="shared" si="13"/>
        <v>11</v>
      </c>
    </row>
    <row r="100" spans="1:17">
      <c r="A100">
        <v>1099</v>
      </c>
      <c r="B100" t="s">
        <v>108</v>
      </c>
      <c r="C100" t="s">
        <v>43</v>
      </c>
      <c r="D100" t="s">
        <v>53</v>
      </c>
      <c r="E100" s="1">
        <v>45394</v>
      </c>
      <c r="F100">
        <v>196</v>
      </c>
      <c r="G100" t="s">
        <v>38</v>
      </c>
      <c r="H100">
        <v>4.5999999999999996</v>
      </c>
      <c r="I100">
        <v>112</v>
      </c>
      <c r="J100" t="s">
        <v>35</v>
      </c>
      <c r="K100" t="str">
        <f t="shared" si="7"/>
        <v>Good</v>
      </c>
      <c r="L100">
        <f t="shared" si="8"/>
        <v>112</v>
      </c>
      <c r="M100" t="str">
        <f t="shared" si="9"/>
        <v>Very Long</v>
      </c>
      <c r="N100" s="4" t="str">
        <f t="shared" si="10"/>
        <v>Boa</v>
      </c>
      <c r="O100" s="4" t="str">
        <f t="shared" si="11"/>
        <v>RANTHAMBORE</v>
      </c>
      <c r="P100" s="4" t="str">
        <f t="shared" si="12"/>
        <v>Very Enjoyable</v>
      </c>
      <c r="Q100" s="4">
        <f t="shared" si="13"/>
        <v>10</v>
      </c>
    </row>
    <row r="101" spans="1:17">
      <c r="A101">
        <v>1100</v>
      </c>
      <c r="B101" t="s">
        <v>49</v>
      </c>
      <c r="C101" t="s">
        <v>41</v>
      </c>
      <c r="D101" t="s">
        <v>53</v>
      </c>
      <c r="E101" s="1">
        <v>45496</v>
      </c>
      <c r="F101">
        <v>127</v>
      </c>
      <c r="G101" t="s">
        <v>20</v>
      </c>
      <c r="H101">
        <v>4.3</v>
      </c>
      <c r="I101">
        <v>422</v>
      </c>
      <c r="J101" t="s">
        <v>50</v>
      </c>
      <c r="K101" t="str">
        <f t="shared" si="7"/>
        <v>Good</v>
      </c>
      <c r="L101">
        <f t="shared" si="8"/>
        <v>422</v>
      </c>
      <c r="M101" t="str">
        <f t="shared" si="9"/>
        <v>Long</v>
      </c>
      <c r="N101" s="4" t="str">
        <f t="shared" si="10"/>
        <v>Boa</v>
      </c>
      <c r="O101" s="4" t="str">
        <f t="shared" si="11"/>
        <v>JIM CORBETT</v>
      </c>
      <c r="P101" s="4" t="str">
        <f t="shared" si="12"/>
        <v>Saw Rare Species</v>
      </c>
      <c r="Q101" s="4">
        <f t="shared" si="13"/>
        <v>11</v>
      </c>
    </row>
    <row r="102" spans="1:17">
      <c r="A102">
        <v>1101</v>
      </c>
      <c r="B102" t="s">
        <v>80</v>
      </c>
      <c r="C102" t="s">
        <v>41</v>
      </c>
      <c r="D102" t="s">
        <v>24</v>
      </c>
      <c r="E102" s="1">
        <v>45635</v>
      </c>
      <c r="F102">
        <v>203</v>
      </c>
      <c r="G102" t="s">
        <v>38</v>
      </c>
      <c r="H102">
        <v>4.0999999999999996</v>
      </c>
      <c r="I102">
        <v>321</v>
      </c>
      <c r="J102" t="s">
        <v>54</v>
      </c>
      <c r="K102" t="str">
        <f t="shared" si="7"/>
        <v>Good</v>
      </c>
      <c r="L102">
        <f t="shared" si="8"/>
        <v>321</v>
      </c>
      <c r="M102" t="str">
        <f t="shared" si="9"/>
        <v>Very Long</v>
      </c>
      <c r="N102" s="4" t="str">
        <f t="shared" si="10"/>
        <v>Saf</v>
      </c>
      <c r="O102" s="4" t="str">
        <f t="shared" si="11"/>
        <v>JIM CORBETT</v>
      </c>
      <c r="P102" s="4" t="str">
        <f t="shared" si="12"/>
        <v>Could Be Cleaner</v>
      </c>
      <c r="Q102" s="4">
        <f t="shared" si="13"/>
        <v>12</v>
      </c>
    </row>
    <row r="103" spans="1:17">
      <c r="A103">
        <v>1102</v>
      </c>
      <c r="B103" t="s">
        <v>106</v>
      </c>
      <c r="C103" t="s">
        <v>18</v>
      </c>
      <c r="D103" t="s">
        <v>53</v>
      </c>
      <c r="E103" s="1">
        <v>45549</v>
      </c>
      <c r="F103">
        <v>87</v>
      </c>
      <c r="G103" t="s">
        <v>25</v>
      </c>
      <c r="H103">
        <v>2.5</v>
      </c>
      <c r="I103">
        <v>169</v>
      </c>
      <c r="J103" t="s">
        <v>30</v>
      </c>
      <c r="K103" t="str">
        <f t="shared" si="7"/>
        <v>Bad</v>
      </c>
      <c r="L103">
        <f t="shared" si="8"/>
        <v>169</v>
      </c>
      <c r="M103" t="str">
        <f t="shared" si="9"/>
        <v>Medium</v>
      </c>
      <c r="N103" s="4" t="str">
        <f t="shared" si="10"/>
        <v>Boa</v>
      </c>
      <c r="O103" s="4" t="str">
        <f t="shared" si="11"/>
        <v>SUNDARBANS</v>
      </c>
      <c r="P103" s="4" t="str">
        <f t="shared" si="12"/>
        <v>Good Guide Support</v>
      </c>
      <c r="Q103" s="4">
        <f t="shared" si="13"/>
        <v>12</v>
      </c>
    </row>
    <row r="104" spans="1:17">
      <c r="A104">
        <v>1103</v>
      </c>
      <c r="B104" t="s">
        <v>109</v>
      </c>
      <c r="C104" t="s">
        <v>41</v>
      </c>
      <c r="D104" t="s">
        <v>53</v>
      </c>
      <c r="E104" s="1">
        <v>45511</v>
      </c>
      <c r="F104">
        <v>186</v>
      </c>
      <c r="G104" t="s">
        <v>46</v>
      </c>
      <c r="H104">
        <v>4.5</v>
      </c>
      <c r="I104">
        <v>201</v>
      </c>
      <c r="J104" t="s">
        <v>54</v>
      </c>
      <c r="K104" t="str">
        <f t="shared" si="7"/>
        <v>Good</v>
      </c>
      <c r="L104">
        <f t="shared" si="8"/>
        <v>201</v>
      </c>
      <c r="M104" t="str">
        <f t="shared" si="9"/>
        <v>Very Long</v>
      </c>
      <c r="N104" s="4" t="str">
        <f t="shared" si="10"/>
        <v>Boa</v>
      </c>
      <c r="O104" s="4" t="str">
        <f t="shared" si="11"/>
        <v>JIM CORBETT</v>
      </c>
      <c r="P104" s="4" t="str">
        <f t="shared" si="12"/>
        <v>Could Be Cleaner</v>
      </c>
      <c r="Q104" s="4">
        <f t="shared" si="13"/>
        <v>11</v>
      </c>
    </row>
    <row r="105" spans="1:17">
      <c r="A105">
        <v>1104</v>
      </c>
      <c r="B105" t="s">
        <v>95</v>
      </c>
      <c r="C105" t="s">
        <v>52</v>
      </c>
      <c r="D105" t="s">
        <v>53</v>
      </c>
      <c r="E105" s="1">
        <v>45341</v>
      </c>
      <c r="F105">
        <v>230</v>
      </c>
      <c r="G105" t="s">
        <v>38</v>
      </c>
      <c r="H105">
        <v>4.8</v>
      </c>
      <c r="I105">
        <v>149</v>
      </c>
      <c r="J105" t="s">
        <v>73</v>
      </c>
      <c r="K105" t="str">
        <f t="shared" si="7"/>
        <v>Good</v>
      </c>
      <c r="L105">
        <f t="shared" si="8"/>
        <v>149</v>
      </c>
      <c r="M105" t="str">
        <f t="shared" si="9"/>
        <v>Very Long</v>
      </c>
      <c r="N105" s="4" t="str">
        <f t="shared" si="10"/>
        <v>Boa</v>
      </c>
      <c r="O105" s="4" t="str">
        <f t="shared" si="11"/>
        <v>KAZIRANGA</v>
      </c>
      <c r="P105" s="4" t="str">
        <f t="shared" si="12"/>
        <v>Peaceful Environment</v>
      </c>
      <c r="Q105" s="4">
        <f t="shared" si="13"/>
        <v>11</v>
      </c>
    </row>
    <row r="106" spans="1:17">
      <c r="A106">
        <v>1105</v>
      </c>
      <c r="B106" t="s">
        <v>110</v>
      </c>
      <c r="C106" t="s">
        <v>34</v>
      </c>
      <c r="D106" t="s">
        <v>48</v>
      </c>
      <c r="E106" s="1">
        <v>45400</v>
      </c>
      <c r="F106">
        <v>134</v>
      </c>
      <c r="G106" t="s">
        <v>38</v>
      </c>
      <c r="H106">
        <v>3.1</v>
      </c>
      <c r="I106">
        <v>311</v>
      </c>
      <c r="J106" t="s">
        <v>66</v>
      </c>
      <c r="K106" t="str">
        <f t="shared" si="7"/>
        <v>Neutral</v>
      </c>
      <c r="L106">
        <f t="shared" si="8"/>
        <v>311</v>
      </c>
      <c r="M106" t="str">
        <f t="shared" si="9"/>
        <v>Long</v>
      </c>
      <c r="N106" s="4" t="str">
        <f t="shared" si="10"/>
        <v>Cam</v>
      </c>
      <c r="O106" s="4" t="str">
        <f t="shared" si="11"/>
        <v>GIR</v>
      </c>
      <c r="P106" s="4" t="str">
        <f t="shared" si="12"/>
        <v>Amazing Experience</v>
      </c>
      <c r="Q106" s="4">
        <f t="shared" si="13"/>
        <v>11</v>
      </c>
    </row>
    <row r="107" spans="1:17">
      <c r="A107">
        <v>1106</v>
      </c>
      <c r="B107" t="s">
        <v>111</v>
      </c>
      <c r="C107" t="s">
        <v>43</v>
      </c>
      <c r="D107" t="s">
        <v>29</v>
      </c>
      <c r="E107" s="1">
        <v>45311</v>
      </c>
      <c r="F107">
        <v>126</v>
      </c>
      <c r="G107" t="s">
        <v>38</v>
      </c>
      <c r="H107">
        <v>4.8</v>
      </c>
      <c r="I107">
        <v>398</v>
      </c>
      <c r="J107" t="s">
        <v>32</v>
      </c>
      <c r="K107" t="str">
        <f t="shared" si="7"/>
        <v>Good</v>
      </c>
      <c r="L107">
        <f t="shared" si="8"/>
        <v>398</v>
      </c>
      <c r="M107" t="str">
        <f t="shared" si="9"/>
        <v>Long</v>
      </c>
      <c r="N107" s="4" t="str">
        <f t="shared" si="10"/>
        <v>Hik</v>
      </c>
      <c r="O107" s="4" t="str">
        <f t="shared" si="11"/>
        <v>RANTHAMBORE</v>
      </c>
      <c r="P107" s="4" t="str">
        <f t="shared" si="12"/>
        <v>No Comments</v>
      </c>
      <c r="Q107" s="4">
        <f t="shared" si="13"/>
        <v>11</v>
      </c>
    </row>
    <row r="108" spans="1:17">
      <c r="A108">
        <v>1107</v>
      </c>
      <c r="B108" t="s">
        <v>76</v>
      </c>
      <c r="C108" t="s">
        <v>43</v>
      </c>
      <c r="D108" t="s">
        <v>29</v>
      </c>
      <c r="E108" s="1">
        <v>45641</v>
      </c>
      <c r="F108">
        <v>97</v>
      </c>
      <c r="G108" t="s">
        <v>46</v>
      </c>
      <c r="H108">
        <v>4.9000000000000004</v>
      </c>
      <c r="I108">
        <v>483</v>
      </c>
      <c r="J108" t="s">
        <v>66</v>
      </c>
      <c r="K108" t="str">
        <f t="shared" si="7"/>
        <v>Good</v>
      </c>
      <c r="L108">
        <f t="shared" si="8"/>
        <v>483</v>
      </c>
      <c r="M108" t="str">
        <f t="shared" si="9"/>
        <v>Long</v>
      </c>
      <c r="N108" s="4" t="str">
        <f t="shared" si="10"/>
        <v>Hik</v>
      </c>
      <c r="O108" s="4" t="str">
        <f t="shared" si="11"/>
        <v>RANTHAMBORE</v>
      </c>
      <c r="P108" s="4" t="str">
        <f t="shared" si="12"/>
        <v>Amazing Experience</v>
      </c>
      <c r="Q108" s="4">
        <f t="shared" si="13"/>
        <v>11</v>
      </c>
    </row>
    <row r="109" spans="1:17">
      <c r="A109">
        <v>1108</v>
      </c>
      <c r="B109" t="s">
        <v>109</v>
      </c>
      <c r="C109" t="s">
        <v>52</v>
      </c>
      <c r="D109" t="s">
        <v>53</v>
      </c>
      <c r="E109" s="1">
        <v>45424</v>
      </c>
      <c r="F109">
        <v>25</v>
      </c>
      <c r="G109" t="s">
        <v>46</v>
      </c>
      <c r="H109">
        <v>4.7</v>
      </c>
      <c r="I109">
        <v>401</v>
      </c>
      <c r="J109" t="s">
        <v>73</v>
      </c>
      <c r="K109" t="str">
        <f t="shared" si="7"/>
        <v>Good</v>
      </c>
      <c r="L109">
        <f t="shared" si="8"/>
        <v>401</v>
      </c>
      <c r="M109" t="str">
        <f t="shared" si="9"/>
        <v>Short</v>
      </c>
      <c r="N109" s="4" t="str">
        <f t="shared" si="10"/>
        <v>Boa</v>
      </c>
      <c r="O109" s="4" t="str">
        <f t="shared" si="11"/>
        <v>KAZIRANGA</v>
      </c>
      <c r="P109" s="4" t="str">
        <f t="shared" si="12"/>
        <v>Peaceful Environment</v>
      </c>
      <c r="Q109" s="4">
        <f t="shared" si="13"/>
        <v>11</v>
      </c>
    </row>
    <row r="110" spans="1:17">
      <c r="A110">
        <v>1109</v>
      </c>
      <c r="B110" t="s">
        <v>82</v>
      </c>
      <c r="C110" t="s">
        <v>43</v>
      </c>
      <c r="D110" t="s">
        <v>37</v>
      </c>
      <c r="E110" s="1">
        <v>45298</v>
      </c>
      <c r="F110">
        <v>188</v>
      </c>
      <c r="G110" t="s">
        <v>38</v>
      </c>
      <c r="H110">
        <v>2.6</v>
      </c>
      <c r="I110">
        <v>498</v>
      </c>
      <c r="J110" t="s">
        <v>73</v>
      </c>
      <c r="K110" t="str">
        <f t="shared" si="7"/>
        <v>Bad</v>
      </c>
      <c r="L110">
        <f t="shared" si="8"/>
        <v>498</v>
      </c>
      <c r="M110" t="str">
        <f t="shared" si="9"/>
        <v>Very Long</v>
      </c>
      <c r="N110" s="4" t="str">
        <f t="shared" si="10"/>
        <v>Bir</v>
      </c>
      <c r="O110" s="4" t="str">
        <f t="shared" si="11"/>
        <v>RANTHAMBORE</v>
      </c>
      <c r="P110" s="4" t="str">
        <f t="shared" si="12"/>
        <v>Peaceful Environment</v>
      </c>
      <c r="Q110" s="4">
        <f t="shared" si="13"/>
        <v>11</v>
      </c>
    </row>
    <row r="111" spans="1:17">
      <c r="A111">
        <v>1110</v>
      </c>
      <c r="B111" t="s">
        <v>112</v>
      </c>
      <c r="C111" t="s">
        <v>18</v>
      </c>
      <c r="D111" t="s">
        <v>48</v>
      </c>
      <c r="E111" s="1">
        <v>45603</v>
      </c>
      <c r="F111">
        <v>75</v>
      </c>
      <c r="G111" t="s">
        <v>38</v>
      </c>
      <c r="H111">
        <v>4.8</v>
      </c>
      <c r="I111">
        <v>459</v>
      </c>
      <c r="J111" t="s">
        <v>35</v>
      </c>
      <c r="K111" t="str">
        <f t="shared" si="7"/>
        <v>Good</v>
      </c>
      <c r="L111">
        <f t="shared" si="8"/>
        <v>459</v>
      </c>
      <c r="M111" t="str">
        <f t="shared" si="9"/>
        <v>Medium</v>
      </c>
      <c r="N111" s="4" t="str">
        <f t="shared" si="10"/>
        <v>Cam</v>
      </c>
      <c r="O111" s="4" t="str">
        <f t="shared" si="11"/>
        <v>SUNDARBANS</v>
      </c>
      <c r="P111" s="4" t="str">
        <f t="shared" si="12"/>
        <v>Very Enjoyable</v>
      </c>
      <c r="Q111" s="4">
        <f t="shared" si="13"/>
        <v>12</v>
      </c>
    </row>
    <row r="112" spans="1:17">
      <c r="A112">
        <v>1111</v>
      </c>
      <c r="B112" t="s">
        <v>74</v>
      </c>
      <c r="C112" t="s">
        <v>45</v>
      </c>
      <c r="D112" t="s">
        <v>37</v>
      </c>
      <c r="E112" s="1">
        <v>45466</v>
      </c>
      <c r="F112">
        <v>63</v>
      </c>
      <c r="G112" t="s">
        <v>25</v>
      </c>
      <c r="H112">
        <v>3.7</v>
      </c>
      <c r="I112">
        <v>308</v>
      </c>
      <c r="J112" t="s">
        <v>32</v>
      </c>
      <c r="K112" t="str">
        <f t="shared" si="7"/>
        <v>Neutral</v>
      </c>
      <c r="L112">
        <f t="shared" si="8"/>
        <v>308</v>
      </c>
      <c r="M112" t="str">
        <f t="shared" si="9"/>
        <v>Medium</v>
      </c>
      <c r="N112" s="4" t="str">
        <f t="shared" si="10"/>
        <v>Bir</v>
      </c>
      <c r="O112" s="4" t="str">
        <f t="shared" si="11"/>
        <v>KANHA</v>
      </c>
      <c r="P112" s="4" t="str">
        <f t="shared" si="12"/>
        <v>No Comments</v>
      </c>
      <c r="Q112" s="4">
        <f t="shared" si="13"/>
        <v>10</v>
      </c>
    </row>
    <row r="113" spans="1:17">
      <c r="A113">
        <v>1112</v>
      </c>
      <c r="B113" t="s">
        <v>86</v>
      </c>
      <c r="C113" t="s">
        <v>52</v>
      </c>
      <c r="D113" t="s">
        <v>19</v>
      </c>
      <c r="E113" s="1">
        <v>45490</v>
      </c>
      <c r="F113">
        <v>161</v>
      </c>
      <c r="G113" t="s">
        <v>25</v>
      </c>
      <c r="H113">
        <v>4.4000000000000004</v>
      </c>
      <c r="I113">
        <v>410</v>
      </c>
      <c r="J113" t="s">
        <v>50</v>
      </c>
      <c r="K113" t="str">
        <f t="shared" si="7"/>
        <v>Good</v>
      </c>
      <c r="L113">
        <f t="shared" si="8"/>
        <v>410</v>
      </c>
      <c r="M113" t="str">
        <f t="shared" si="9"/>
        <v>Long</v>
      </c>
      <c r="N113" s="4" t="str">
        <f t="shared" si="10"/>
        <v>Pho</v>
      </c>
      <c r="O113" s="4" t="str">
        <f t="shared" si="11"/>
        <v>KAZIRANGA</v>
      </c>
      <c r="P113" s="4" t="str">
        <f t="shared" si="12"/>
        <v>Saw Rare Species</v>
      </c>
      <c r="Q113" s="4">
        <f t="shared" si="13"/>
        <v>10</v>
      </c>
    </row>
    <row r="114" spans="1:17">
      <c r="A114">
        <v>1113</v>
      </c>
      <c r="B114" t="s">
        <v>31</v>
      </c>
      <c r="C114" t="s">
        <v>18</v>
      </c>
      <c r="D114" t="s">
        <v>37</v>
      </c>
      <c r="E114" s="1">
        <v>45453</v>
      </c>
      <c r="F114">
        <v>181</v>
      </c>
      <c r="G114" t="s">
        <v>25</v>
      </c>
      <c r="H114">
        <v>4.5</v>
      </c>
      <c r="I114">
        <v>393</v>
      </c>
      <c r="J114" t="s">
        <v>50</v>
      </c>
      <c r="K114" t="str">
        <f t="shared" si="7"/>
        <v>Good</v>
      </c>
      <c r="L114">
        <f t="shared" si="8"/>
        <v>393</v>
      </c>
      <c r="M114" t="str">
        <f t="shared" si="9"/>
        <v>Very Long</v>
      </c>
      <c r="N114" s="4" t="str">
        <f t="shared" si="10"/>
        <v>Bir</v>
      </c>
      <c r="O114" s="4" t="str">
        <f t="shared" si="11"/>
        <v>SUNDARBANS</v>
      </c>
      <c r="P114" s="4" t="str">
        <f t="shared" si="12"/>
        <v>Saw Rare Species</v>
      </c>
      <c r="Q114" s="4">
        <f t="shared" si="13"/>
        <v>9</v>
      </c>
    </row>
    <row r="115" spans="1:17">
      <c r="A115">
        <v>1114</v>
      </c>
      <c r="B115" t="s">
        <v>113</v>
      </c>
      <c r="C115" t="s">
        <v>18</v>
      </c>
      <c r="D115" t="s">
        <v>24</v>
      </c>
      <c r="E115" s="1">
        <v>45393</v>
      </c>
      <c r="F115">
        <v>136</v>
      </c>
      <c r="G115" t="s">
        <v>25</v>
      </c>
      <c r="H115">
        <v>4.0999999999999996</v>
      </c>
      <c r="I115">
        <v>271</v>
      </c>
      <c r="J115" t="s">
        <v>73</v>
      </c>
      <c r="K115" t="str">
        <f t="shared" si="7"/>
        <v>Good</v>
      </c>
      <c r="L115">
        <f t="shared" si="8"/>
        <v>271</v>
      </c>
      <c r="M115" t="str">
        <f t="shared" si="9"/>
        <v>Long</v>
      </c>
      <c r="N115" s="4" t="str">
        <f t="shared" si="10"/>
        <v>Saf</v>
      </c>
      <c r="O115" s="4" t="str">
        <f t="shared" si="11"/>
        <v>SUNDARBANS</v>
      </c>
      <c r="P115" s="4" t="str">
        <f t="shared" si="12"/>
        <v>Peaceful Environment</v>
      </c>
      <c r="Q115" s="4">
        <f t="shared" si="13"/>
        <v>11</v>
      </c>
    </row>
    <row r="116" spans="1:17">
      <c r="A116">
        <v>1115</v>
      </c>
      <c r="B116" t="s">
        <v>64</v>
      </c>
      <c r="C116" t="s">
        <v>23</v>
      </c>
      <c r="D116" t="s">
        <v>24</v>
      </c>
      <c r="E116" s="1">
        <v>45509</v>
      </c>
      <c r="F116">
        <v>136</v>
      </c>
      <c r="G116" t="s">
        <v>20</v>
      </c>
      <c r="H116">
        <v>2.8</v>
      </c>
      <c r="I116">
        <v>141</v>
      </c>
      <c r="J116" t="s">
        <v>66</v>
      </c>
      <c r="K116" t="str">
        <f t="shared" si="7"/>
        <v>Bad</v>
      </c>
      <c r="L116">
        <f t="shared" si="8"/>
        <v>141</v>
      </c>
      <c r="M116" t="str">
        <f t="shared" si="9"/>
        <v>Long</v>
      </c>
      <c r="N116" s="4" t="str">
        <f t="shared" si="10"/>
        <v>Saf</v>
      </c>
      <c r="O116" s="4" t="str">
        <f t="shared" si="11"/>
        <v>BANDHAVGARH</v>
      </c>
      <c r="P116" s="4" t="str">
        <f t="shared" si="12"/>
        <v>Amazing Experience</v>
      </c>
      <c r="Q116" s="4">
        <f t="shared" si="13"/>
        <v>11</v>
      </c>
    </row>
    <row r="117" spans="1:17">
      <c r="A117">
        <v>1116</v>
      </c>
      <c r="B117" t="s">
        <v>44</v>
      </c>
      <c r="C117" t="s">
        <v>23</v>
      </c>
      <c r="D117" t="s">
        <v>29</v>
      </c>
      <c r="E117" s="1">
        <v>45423</v>
      </c>
      <c r="F117">
        <v>161</v>
      </c>
      <c r="G117" t="s">
        <v>25</v>
      </c>
      <c r="H117">
        <v>4</v>
      </c>
      <c r="I117">
        <v>320</v>
      </c>
      <c r="J117" t="s">
        <v>73</v>
      </c>
      <c r="K117" t="str">
        <f t="shared" si="7"/>
        <v>Neutral</v>
      </c>
      <c r="L117">
        <f t="shared" si="8"/>
        <v>320</v>
      </c>
      <c r="M117" t="str">
        <f t="shared" si="9"/>
        <v>Long</v>
      </c>
      <c r="N117" s="4" t="str">
        <f t="shared" si="10"/>
        <v>Hik</v>
      </c>
      <c r="O117" s="4" t="str">
        <f t="shared" si="11"/>
        <v>BANDHAVGARH</v>
      </c>
      <c r="P117" s="4" t="str">
        <f t="shared" si="12"/>
        <v>Peaceful Environment</v>
      </c>
      <c r="Q117" s="4">
        <f t="shared" si="13"/>
        <v>11</v>
      </c>
    </row>
    <row r="118" spans="1:17">
      <c r="A118">
        <v>1117</v>
      </c>
      <c r="B118" t="s">
        <v>114</v>
      </c>
      <c r="C118" t="s">
        <v>43</v>
      </c>
      <c r="D118" t="s">
        <v>24</v>
      </c>
      <c r="E118" s="1">
        <v>45635</v>
      </c>
      <c r="F118">
        <v>173</v>
      </c>
      <c r="G118" t="s">
        <v>46</v>
      </c>
      <c r="H118">
        <v>4.0999999999999996</v>
      </c>
      <c r="I118">
        <v>449</v>
      </c>
      <c r="J118" t="s">
        <v>30</v>
      </c>
      <c r="K118" t="str">
        <f t="shared" si="7"/>
        <v>Good</v>
      </c>
      <c r="L118">
        <f t="shared" si="8"/>
        <v>449</v>
      </c>
      <c r="M118" t="str">
        <f t="shared" si="9"/>
        <v>Long</v>
      </c>
      <c r="N118" s="4" t="str">
        <f t="shared" si="10"/>
        <v>Saf</v>
      </c>
      <c r="O118" s="4" t="str">
        <f t="shared" si="11"/>
        <v>RANTHAMBORE</v>
      </c>
      <c r="P118" s="4" t="str">
        <f t="shared" si="12"/>
        <v>Good Guide Support</v>
      </c>
      <c r="Q118" s="4">
        <f t="shared" si="13"/>
        <v>11</v>
      </c>
    </row>
    <row r="119" spans="1:17">
      <c r="A119">
        <v>1118</v>
      </c>
      <c r="B119" t="s">
        <v>40</v>
      </c>
      <c r="C119" t="s">
        <v>34</v>
      </c>
      <c r="D119" t="s">
        <v>29</v>
      </c>
      <c r="E119" s="1">
        <v>45410</v>
      </c>
      <c r="F119">
        <v>76</v>
      </c>
      <c r="G119" t="s">
        <v>20</v>
      </c>
      <c r="H119">
        <v>4.4000000000000004</v>
      </c>
      <c r="I119">
        <v>171</v>
      </c>
      <c r="J119" t="s">
        <v>30</v>
      </c>
      <c r="K119" t="str">
        <f t="shared" si="7"/>
        <v>Good</v>
      </c>
      <c r="L119">
        <f t="shared" si="8"/>
        <v>171</v>
      </c>
      <c r="M119" t="str">
        <f t="shared" si="9"/>
        <v>Medium</v>
      </c>
      <c r="N119" s="4" t="str">
        <f t="shared" si="10"/>
        <v>Hik</v>
      </c>
      <c r="O119" s="4" t="str">
        <f t="shared" si="11"/>
        <v>GIR</v>
      </c>
      <c r="P119" s="4" t="str">
        <f t="shared" si="12"/>
        <v>Good Guide Support</v>
      </c>
      <c r="Q119" s="4">
        <f t="shared" si="13"/>
        <v>11</v>
      </c>
    </row>
    <row r="120" spans="1:17">
      <c r="A120">
        <v>1119</v>
      </c>
      <c r="B120" t="s">
        <v>94</v>
      </c>
      <c r="C120" t="s">
        <v>18</v>
      </c>
      <c r="D120" t="s">
        <v>19</v>
      </c>
      <c r="E120" s="1">
        <v>45432</v>
      </c>
      <c r="F120">
        <v>223</v>
      </c>
      <c r="G120" t="s">
        <v>38</v>
      </c>
      <c r="H120">
        <v>3.1</v>
      </c>
      <c r="I120">
        <v>224</v>
      </c>
      <c r="J120" t="s">
        <v>30</v>
      </c>
      <c r="K120" t="str">
        <f t="shared" si="7"/>
        <v>Neutral</v>
      </c>
      <c r="L120">
        <f t="shared" si="8"/>
        <v>224</v>
      </c>
      <c r="M120" t="str">
        <f t="shared" si="9"/>
        <v>Very Long</v>
      </c>
      <c r="N120" s="4" t="str">
        <f t="shared" si="10"/>
        <v>Pho</v>
      </c>
      <c r="O120" s="4" t="str">
        <f t="shared" si="11"/>
        <v>SUNDARBANS</v>
      </c>
      <c r="P120" s="4" t="str">
        <f t="shared" si="12"/>
        <v>Good Guide Support</v>
      </c>
      <c r="Q120" s="4">
        <f t="shared" si="13"/>
        <v>9</v>
      </c>
    </row>
    <row r="121" spans="1:17">
      <c r="A121">
        <v>1120</v>
      </c>
      <c r="B121" t="s">
        <v>91</v>
      </c>
      <c r="C121" t="s">
        <v>45</v>
      </c>
      <c r="D121" t="s">
        <v>24</v>
      </c>
      <c r="E121" s="1">
        <v>45305</v>
      </c>
      <c r="F121">
        <v>78</v>
      </c>
      <c r="G121" t="s">
        <v>46</v>
      </c>
      <c r="H121">
        <v>3.7</v>
      </c>
      <c r="I121">
        <v>194</v>
      </c>
      <c r="J121" t="s">
        <v>35</v>
      </c>
      <c r="K121" t="str">
        <f t="shared" si="7"/>
        <v>Neutral</v>
      </c>
      <c r="L121">
        <f t="shared" si="8"/>
        <v>194</v>
      </c>
      <c r="M121" t="str">
        <f t="shared" si="9"/>
        <v>Medium</v>
      </c>
      <c r="N121" s="4" t="str">
        <f t="shared" si="10"/>
        <v>Saf</v>
      </c>
      <c r="O121" s="4" t="str">
        <f t="shared" si="11"/>
        <v>KANHA</v>
      </c>
      <c r="P121" s="4" t="str">
        <f t="shared" si="12"/>
        <v>Very Enjoyable</v>
      </c>
      <c r="Q121" s="4">
        <f t="shared" si="13"/>
        <v>13</v>
      </c>
    </row>
    <row r="122" spans="1:17">
      <c r="A122">
        <v>1121</v>
      </c>
      <c r="B122" t="s">
        <v>90</v>
      </c>
      <c r="C122" t="s">
        <v>23</v>
      </c>
      <c r="D122" t="s">
        <v>37</v>
      </c>
      <c r="E122" s="1">
        <v>45427</v>
      </c>
      <c r="F122">
        <v>150</v>
      </c>
      <c r="G122" t="s">
        <v>38</v>
      </c>
      <c r="H122">
        <v>3</v>
      </c>
      <c r="I122">
        <v>368</v>
      </c>
      <c r="J122" t="s">
        <v>32</v>
      </c>
      <c r="K122" t="str">
        <f t="shared" si="7"/>
        <v>Neutral</v>
      </c>
      <c r="L122">
        <f t="shared" si="8"/>
        <v>368</v>
      </c>
      <c r="M122" t="str">
        <f t="shared" si="9"/>
        <v>Long</v>
      </c>
      <c r="N122" s="4" t="str">
        <f t="shared" si="10"/>
        <v>Bir</v>
      </c>
      <c r="O122" s="4" t="str">
        <f t="shared" si="11"/>
        <v>BANDHAVGARH</v>
      </c>
      <c r="P122" s="4" t="str">
        <f t="shared" si="12"/>
        <v>No Comments</v>
      </c>
      <c r="Q122" s="4">
        <f t="shared" si="13"/>
        <v>12</v>
      </c>
    </row>
    <row r="123" spans="1:17">
      <c r="A123">
        <v>1122</v>
      </c>
      <c r="B123" t="s">
        <v>115</v>
      </c>
      <c r="C123" t="s">
        <v>34</v>
      </c>
      <c r="D123" t="s">
        <v>29</v>
      </c>
      <c r="E123" s="1">
        <v>45332</v>
      </c>
      <c r="F123">
        <v>146</v>
      </c>
      <c r="G123" t="s">
        <v>38</v>
      </c>
      <c r="H123">
        <v>3.6</v>
      </c>
      <c r="I123">
        <v>153</v>
      </c>
      <c r="J123" t="s">
        <v>21</v>
      </c>
      <c r="K123" t="str">
        <f t="shared" si="7"/>
        <v>Neutral</v>
      </c>
      <c r="L123">
        <f t="shared" si="8"/>
        <v>153</v>
      </c>
      <c r="M123" t="str">
        <f t="shared" si="9"/>
        <v>Long</v>
      </c>
      <c r="N123" s="4" t="str">
        <f t="shared" si="10"/>
        <v>Hik</v>
      </c>
      <c r="O123" s="4" t="str">
        <f t="shared" si="11"/>
        <v>GIR</v>
      </c>
      <c r="P123" s="4" t="str">
        <f t="shared" si="12"/>
        <v>Too Crowded</v>
      </c>
      <c r="Q123" s="4">
        <f t="shared" si="13"/>
        <v>10</v>
      </c>
    </row>
    <row r="124" spans="1:17">
      <c r="A124">
        <v>1123</v>
      </c>
      <c r="B124" t="s">
        <v>112</v>
      </c>
      <c r="C124" t="s">
        <v>45</v>
      </c>
      <c r="D124" t="s">
        <v>37</v>
      </c>
      <c r="E124" s="1">
        <v>45546</v>
      </c>
      <c r="F124">
        <v>187</v>
      </c>
      <c r="G124" t="s">
        <v>46</v>
      </c>
      <c r="H124">
        <v>2.9</v>
      </c>
      <c r="I124">
        <v>261</v>
      </c>
      <c r="J124" t="s">
        <v>68</v>
      </c>
      <c r="K124" t="str">
        <f t="shared" si="7"/>
        <v>Bad</v>
      </c>
      <c r="L124">
        <f t="shared" si="8"/>
        <v>261</v>
      </c>
      <c r="M124" t="str">
        <f t="shared" si="9"/>
        <v>Very Long</v>
      </c>
      <c r="N124" s="4" t="str">
        <f t="shared" si="10"/>
        <v>Bir</v>
      </c>
      <c r="O124" s="4" t="str">
        <f t="shared" si="11"/>
        <v>KANHA</v>
      </c>
      <c r="P124" s="4" t="str">
        <f t="shared" si="12"/>
        <v>Average Service</v>
      </c>
      <c r="Q124" s="4">
        <f t="shared" si="13"/>
        <v>12</v>
      </c>
    </row>
    <row r="125" spans="1:17">
      <c r="A125">
        <v>1124</v>
      </c>
      <c r="B125" t="s">
        <v>116</v>
      </c>
      <c r="C125" t="s">
        <v>45</v>
      </c>
      <c r="D125" t="s">
        <v>37</v>
      </c>
      <c r="E125" s="1">
        <v>45366</v>
      </c>
      <c r="F125">
        <v>54</v>
      </c>
      <c r="G125" t="s">
        <v>20</v>
      </c>
      <c r="H125">
        <v>4.4000000000000004</v>
      </c>
      <c r="I125">
        <v>167</v>
      </c>
      <c r="J125" t="s">
        <v>73</v>
      </c>
      <c r="K125" t="str">
        <f t="shared" si="7"/>
        <v>Good</v>
      </c>
      <c r="L125">
        <f t="shared" si="8"/>
        <v>167</v>
      </c>
      <c r="M125" t="str">
        <f t="shared" si="9"/>
        <v>Medium</v>
      </c>
      <c r="N125" s="4" t="str">
        <f t="shared" si="10"/>
        <v>Bir</v>
      </c>
      <c r="O125" s="4" t="str">
        <f t="shared" si="11"/>
        <v>KANHA</v>
      </c>
      <c r="P125" s="4" t="str">
        <f t="shared" si="12"/>
        <v>Peaceful Environment</v>
      </c>
      <c r="Q125" s="4">
        <f t="shared" si="13"/>
        <v>11</v>
      </c>
    </row>
    <row r="126" spans="1:17">
      <c r="A126">
        <v>1125</v>
      </c>
      <c r="B126" t="s">
        <v>59</v>
      </c>
      <c r="C126" t="s">
        <v>18</v>
      </c>
      <c r="D126" t="s">
        <v>53</v>
      </c>
      <c r="E126" s="1">
        <v>45423</v>
      </c>
      <c r="F126">
        <v>39</v>
      </c>
      <c r="G126" t="s">
        <v>20</v>
      </c>
      <c r="H126">
        <v>2.5</v>
      </c>
      <c r="I126">
        <v>498</v>
      </c>
      <c r="J126" t="s">
        <v>68</v>
      </c>
      <c r="K126" t="str">
        <f t="shared" si="7"/>
        <v>Bad</v>
      </c>
      <c r="L126">
        <f t="shared" si="8"/>
        <v>498</v>
      </c>
      <c r="M126" t="str">
        <f t="shared" si="9"/>
        <v>Medium</v>
      </c>
      <c r="N126" s="4" t="str">
        <f t="shared" si="10"/>
        <v>Boa</v>
      </c>
      <c r="O126" s="4" t="str">
        <f t="shared" si="11"/>
        <v>SUNDARBANS</v>
      </c>
      <c r="P126" s="4" t="str">
        <f t="shared" si="12"/>
        <v>Average Service</v>
      </c>
      <c r="Q126" s="4">
        <f t="shared" si="13"/>
        <v>11</v>
      </c>
    </row>
    <row r="127" spans="1:17">
      <c r="A127">
        <v>1126</v>
      </c>
      <c r="B127" t="s">
        <v>93</v>
      </c>
      <c r="C127" t="s">
        <v>23</v>
      </c>
      <c r="D127" t="s">
        <v>37</v>
      </c>
      <c r="E127" s="1">
        <v>45384</v>
      </c>
      <c r="F127">
        <v>230</v>
      </c>
      <c r="G127" t="s">
        <v>20</v>
      </c>
      <c r="H127">
        <v>3.5</v>
      </c>
      <c r="I127">
        <v>169</v>
      </c>
      <c r="J127" t="s">
        <v>30</v>
      </c>
      <c r="K127" t="str">
        <f t="shared" si="7"/>
        <v>Neutral</v>
      </c>
      <c r="L127">
        <f t="shared" si="8"/>
        <v>169</v>
      </c>
      <c r="M127" t="str">
        <f t="shared" si="9"/>
        <v>Very Long</v>
      </c>
      <c r="N127" s="4" t="str">
        <f t="shared" si="10"/>
        <v>Bir</v>
      </c>
      <c r="O127" s="4" t="str">
        <f t="shared" si="11"/>
        <v>BANDHAVGARH</v>
      </c>
      <c r="P127" s="4" t="str">
        <f t="shared" si="12"/>
        <v>Good Guide Support</v>
      </c>
      <c r="Q127" s="4">
        <f t="shared" si="13"/>
        <v>11</v>
      </c>
    </row>
    <row r="128" spans="1:17">
      <c r="A128">
        <v>1127</v>
      </c>
      <c r="B128" t="s">
        <v>82</v>
      </c>
      <c r="C128" t="s">
        <v>52</v>
      </c>
      <c r="D128" t="s">
        <v>19</v>
      </c>
      <c r="E128" s="1">
        <v>45562</v>
      </c>
      <c r="F128">
        <v>51</v>
      </c>
      <c r="G128" t="s">
        <v>25</v>
      </c>
      <c r="H128">
        <v>4.3</v>
      </c>
      <c r="I128">
        <v>170</v>
      </c>
      <c r="J128" t="s">
        <v>35</v>
      </c>
      <c r="K128" t="str">
        <f t="shared" si="7"/>
        <v>Good</v>
      </c>
      <c r="L128">
        <f t="shared" si="8"/>
        <v>170</v>
      </c>
      <c r="M128" t="str">
        <f t="shared" si="9"/>
        <v>Medium</v>
      </c>
      <c r="N128" s="4" t="str">
        <f t="shared" si="10"/>
        <v>Pho</v>
      </c>
      <c r="O128" s="4" t="str">
        <f t="shared" si="11"/>
        <v>KAZIRANGA</v>
      </c>
      <c r="P128" s="4" t="str">
        <f t="shared" si="12"/>
        <v>Very Enjoyable</v>
      </c>
      <c r="Q128" s="4">
        <f t="shared" si="13"/>
        <v>11</v>
      </c>
    </row>
    <row r="129" spans="1:17">
      <c r="A129">
        <v>1128</v>
      </c>
      <c r="B129" t="s">
        <v>63</v>
      </c>
      <c r="C129" t="s">
        <v>34</v>
      </c>
      <c r="D129" t="s">
        <v>19</v>
      </c>
      <c r="E129" s="1">
        <v>45531</v>
      </c>
      <c r="F129">
        <v>181</v>
      </c>
      <c r="G129" t="s">
        <v>46</v>
      </c>
      <c r="H129">
        <v>3.7</v>
      </c>
      <c r="I129">
        <v>329</v>
      </c>
      <c r="J129" t="s">
        <v>30</v>
      </c>
      <c r="K129" t="str">
        <f t="shared" si="7"/>
        <v>Neutral</v>
      </c>
      <c r="L129">
        <f t="shared" si="8"/>
        <v>329</v>
      </c>
      <c r="M129" t="str">
        <f t="shared" si="9"/>
        <v>Very Long</v>
      </c>
      <c r="N129" s="4" t="str">
        <f t="shared" si="10"/>
        <v>Pho</v>
      </c>
      <c r="O129" s="4" t="str">
        <f t="shared" si="11"/>
        <v>GIR</v>
      </c>
      <c r="P129" s="4" t="str">
        <f t="shared" si="12"/>
        <v>Good Guide Support</v>
      </c>
      <c r="Q129" s="4">
        <f t="shared" si="13"/>
        <v>10</v>
      </c>
    </row>
    <row r="130" spans="1:17">
      <c r="A130">
        <v>1129</v>
      </c>
      <c r="B130" t="s">
        <v>117</v>
      </c>
      <c r="C130" t="s">
        <v>45</v>
      </c>
      <c r="D130" t="s">
        <v>19</v>
      </c>
      <c r="E130" s="1">
        <v>45614</v>
      </c>
      <c r="F130">
        <v>68</v>
      </c>
      <c r="G130" t="s">
        <v>25</v>
      </c>
      <c r="H130">
        <v>3.1</v>
      </c>
      <c r="I130">
        <v>196</v>
      </c>
      <c r="J130" t="s">
        <v>73</v>
      </c>
      <c r="K130" t="str">
        <f t="shared" ref="K130:K193" si="14">IF(H130&gt;4,"Good",IF(H130&gt;=3,"Neutral","Bad"))</f>
        <v>Neutral</v>
      </c>
      <c r="L130">
        <f t="shared" ref="L130:L193" si="15">ROUND(I130,0)</f>
        <v>196</v>
      </c>
      <c r="M130" t="str">
        <f t="shared" ref="M130:M193" si="16">IF(F130&lt;30,"Short",IF(F130&lt;90,"Medium",IF(F130&lt;180,"Long","Very Long")))</f>
        <v>Medium</v>
      </c>
      <c r="N130" s="4" t="str">
        <f t="shared" ref="N130:N193" si="17">LEFT(D130,3)</f>
        <v>Pho</v>
      </c>
      <c r="O130" s="4" t="str">
        <f t="shared" ref="O130:O193" si="18">UPPER(C130)</f>
        <v>KANHA</v>
      </c>
      <c r="P130" s="4" t="str">
        <f t="shared" ref="P130:P193" si="19">PROPER(J130)</f>
        <v>Peaceful Environment</v>
      </c>
      <c r="Q130" s="4">
        <f t="shared" ref="Q130:Q193" si="20">LEN(B130)</f>
        <v>11</v>
      </c>
    </row>
    <row r="131" spans="1:17">
      <c r="A131">
        <v>1130</v>
      </c>
      <c r="B131" t="s">
        <v>74</v>
      </c>
      <c r="C131" t="s">
        <v>28</v>
      </c>
      <c r="D131" t="s">
        <v>24</v>
      </c>
      <c r="E131" s="1">
        <v>45644</v>
      </c>
      <c r="F131">
        <v>220</v>
      </c>
      <c r="G131" t="s">
        <v>25</v>
      </c>
      <c r="H131">
        <v>3.6</v>
      </c>
      <c r="I131">
        <v>328</v>
      </c>
      <c r="J131" t="s">
        <v>68</v>
      </c>
      <c r="K131" t="str">
        <f t="shared" si="14"/>
        <v>Neutral</v>
      </c>
      <c r="L131">
        <f t="shared" si="15"/>
        <v>328</v>
      </c>
      <c r="M131" t="str">
        <f t="shared" si="16"/>
        <v>Very Long</v>
      </c>
      <c r="N131" s="4" t="str">
        <f t="shared" si="17"/>
        <v>Saf</v>
      </c>
      <c r="O131" s="4" t="str">
        <f t="shared" si="18"/>
        <v>PERIYAR</v>
      </c>
      <c r="P131" s="4" t="str">
        <f t="shared" si="19"/>
        <v>Average Service</v>
      </c>
      <c r="Q131" s="4">
        <f t="shared" si="20"/>
        <v>10</v>
      </c>
    </row>
    <row r="132" spans="1:17">
      <c r="A132">
        <v>1131</v>
      </c>
      <c r="B132" t="s">
        <v>96</v>
      </c>
      <c r="C132" t="s">
        <v>43</v>
      </c>
      <c r="D132" t="s">
        <v>48</v>
      </c>
      <c r="E132" s="1">
        <v>45524</v>
      </c>
      <c r="F132">
        <v>143</v>
      </c>
      <c r="G132" t="s">
        <v>20</v>
      </c>
      <c r="H132">
        <v>4.8</v>
      </c>
      <c r="I132">
        <v>119</v>
      </c>
      <c r="J132" t="s">
        <v>32</v>
      </c>
      <c r="K132" t="str">
        <f t="shared" si="14"/>
        <v>Good</v>
      </c>
      <c r="L132">
        <f t="shared" si="15"/>
        <v>119</v>
      </c>
      <c r="M132" t="str">
        <f t="shared" si="16"/>
        <v>Long</v>
      </c>
      <c r="N132" s="4" t="str">
        <f t="shared" si="17"/>
        <v>Cam</v>
      </c>
      <c r="O132" s="4" t="str">
        <f t="shared" si="18"/>
        <v>RANTHAMBORE</v>
      </c>
      <c r="P132" s="4" t="str">
        <f t="shared" si="19"/>
        <v>No Comments</v>
      </c>
      <c r="Q132" s="4">
        <f t="shared" si="20"/>
        <v>10</v>
      </c>
    </row>
    <row r="133" spans="1:17">
      <c r="A133">
        <v>1132</v>
      </c>
      <c r="B133" t="s">
        <v>111</v>
      </c>
      <c r="C133" t="s">
        <v>28</v>
      </c>
      <c r="D133" t="s">
        <v>48</v>
      </c>
      <c r="E133" s="1">
        <v>45550</v>
      </c>
      <c r="F133">
        <v>240</v>
      </c>
      <c r="G133" t="s">
        <v>25</v>
      </c>
      <c r="H133">
        <v>4.0999999999999996</v>
      </c>
      <c r="I133">
        <v>348</v>
      </c>
      <c r="J133" t="s">
        <v>68</v>
      </c>
      <c r="K133" t="str">
        <f t="shared" si="14"/>
        <v>Good</v>
      </c>
      <c r="L133">
        <f t="shared" si="15"/>
        <v>348</v>
      </c>
      <c r="M133" t="str">
        <f t="shared" si="16"/>
        <v>Very Long</v>
      </c>
      <c r="N133" s="4" t="str">
        <f t="shared" si="17"/>
        <v>Cam</v>
      </c>
      <c r="O133" s="4" t="str">
        <f t="shared" si="18"/>
        <v>PERIYAR</v>
      </c>
      <c r="P133" s="4" t="str">
        <f t="shared" si="19"/>
        <v>Average Service</v>
      </c>
      <c r="Q133" s="4">
        <f t="shared" si="20"/>
        <v>11</v>
      </c>
    </row>
    <row r="134" spans="1:17">
      <c r="A134">
        <v>1133</v>
      </c>
      <c r="B134" t="s">
        <v>118</v>
      </c>
      <c r="C134" t="s">
        <v>45</v>
      </c>
      <c r="D134" t="s">
        <v>24</v>
      </c>
      <c r="E134" s="1">
        <v>45585</v>
      </c>
      <c r="F134">
        <v>57</v>
      </c>
      <c r="G134" t="s">
        <v>38</v>
      </c>
      <c r="H134">
        <v>3.4</v>
      </c>
      <c r="I134">
        <v>166</v>
      </c>
      <c r="J134" t="s">
        <v>26</v>
      </c>
      <c r="K134" t="str">
        <f t="shared" si="14"/>
        <v>Neutral</v>
      </c>
      <c r="L134">
        <f t="shared" si="15"/>
        <v>166</v>
      </c>
      <c r="M134" t="str">
        <f t="shared" si="16"/>
        <v>Medium</v>
      </c>
      <c r="N134" s="4" t="str">
        <f t="shared" si="17"/>
        <v>Saf</v>
      </c>
      <c r="O134" s="4" t="str">
        <f t="shared" si="18"/>
        <v>KANHA</v>
      </c>
      <c r="P134" s="4" t="str">
        <f t="shared" si="19"/>
        <v>Excellent Wildlife View</v>
      </c>
      <c r="Q134" s="4">
        <f t="shared" si="20"/>
        <v>12</v>
      </c>
    </row>
    <row r="135" spans="1:17">
      <c r="A135">
        <v>1134</v>
      </c>
      <c r="B135" t="s">
        <v>114</v>
      </c>
      <c r="C135" t="s">
        <v>28</v>
      </c>
      <c r="D135" t="s">
        <v>24</v>
      </c>
      <c r="E135" s="1">
        <v>45602</v>
      </c>
      <c r="F135">
        <v>222</v>
      </c>
      <c r="G135" t="s">
        <v>46</v>
      </c>
      <c r="H135">
        <v>2.5</v>
      </c>
      <c r="I135">
        <v>471</v>
      </c>
      <c r="J135" t="s">
        <v>21</v>
      </c>
      <c r="K135" t="str">
        <f t="shared" si="14"/>
        <v>Bad</v>
      </c>
      <c r="L135">
        <f t="shared" si="15"/>
        <v>471</v>
      </c>
      <c r="M135" t="str">
        <f t="shared" si="16"/>
        <v>Very Long</v>
      </c>
      <c r="N135" s="4" t="str">
        <f t="shared" si="17"/>
        <v>Saf</v>
      </c>
      <c r="O135" s="4" t="str">
        <f t="shared" si="18"/>
        <v>PERIYAR</v>
      </c>
      <c r="P135" s="4" t="str">
        <f t="shared" si="19"/>
        <v>Too Crowded</v>
      </c>
      <c r="Q135" s="4">
        <f t="shared" si="20"/>
        <v>11</v>
      </c>
    </row>
    <row r="136" spans="1:17">
      <c r="A136">
        <v>1135</v>
      </c>
      <c r="B136" t="s">
        <v>97</v>
      </c>
      <c r="C136" t="s">
        <v>43</v>
      </c>
      <c r="D136" t="s">
        <v>37</v>
      </c>
      <c r="E136" s="1">
        <v>45524</v>
      </c>
      <c r="F136">
        <v>26</v>
      </c>
      <c r="G136" t="s">
        <v>46</v>
      </c>
      <c r="H136">
        <v>3.3</v>
      </c>
      <c r="I136">
        <v>298</v>
      </c>
      <c r="J136" t="s">
        <v>30</v>
      </c>
      <c r="K136" t="str">
        <f t="shared" si="14"/>
        <v>Neutral</v>
      </c>
      <c r="L136">
        <f t="shared" si="15"/>
        <v>298</v>
      </c>
      <c r="M136" t="str">
        <f t="shared" si="16"/>
        <v>Short</v>
      </c>
      <c r="N136" s="4" t="str">
        <f t="shared" si="17"/>
        <v>Bir</v>
      </c>
      <c r="O136" s="4" t="str">
        <f t="shared" si="18"/>
        <v>RANTHAMBORE</v>
      </c>
      <c r="P136" s="4" t="str">
        <f t="shared" si="19"/>
        <v>Good Guide Support</v>
      </c>
      <c r="Q136" s="4">
        <f t="shared" si="20"/>
        <v>11</v>
      </c>
    </row>
    <row r="137" spans="1:17">
      <c r="A137">
        <v>1136</v>
      </c>
      <c r="B137" t="s">
        <v>119</v>
      </c>
      <c r="C137" t="s">
        <v>41</v>
      </c>
      <c r="D137" t="s">
        <v>24</v>
      </c>
      <c r="E137" s="1">
        <v>45476</v>
      </c>
      <c r="F137">
        <v>205</v>
      </c>
      <c r="G137" t="s">
        <v>46</v>
      </c>
      <c r="H137">
        <v>2.6</v>
      </c>
      <c r="I137">
        <v>496</v>
      </c>
      <c r="J137" t="s">
        <v>35</v>
      </c>
      <c r="K137" t="str">
        <f t="shared" si="14"/>
        <v>Bad</v>
      </c>
      <c r="L137">
        <f t="shared" si="15"/>
        <v>496</v>
      </c>
      <c r="M137" t="str">
        <f t="shared" si="16"/>
        <v>Very Long</v>
      </c>
      <c r="N137" s="4" t="str">
        <f t="shared" si="17"/>
        <v>Saf</v>
      </c>
      <c r="O137" s="4" t="str">
        <f t="shared" si="18"/>
        <v>JIM CORBETT</v>
      </c>
      <c r="P137" s="4" t="str">
        <f t="shared" si="19"/>
        <v>Very Enjoyable</v>
      </c>
      <c r="Q137" s="4">
        <f t="shared" si="20"/>
        <v>10</v>
      </c>
    </row>
    <row r="138" spans="1:17">
      <c r="A138">
        <v>1137</v>
      </c>
      <c r="B138" t="s">
        <v>102</v>
      </c>
      <c r="C138" t="s">
        <v>41</v>
      </c>
      <c r="D138" t="s">
        <v>24</v>
      </c>
      <c r="E138" s="1">
        <v>45416</v>
      </c>
      <c r="F138">
        <v>61</v>
      </c>
      <c r="G138" t="s">
        <v>20</v>
      </c>
      <c r="H138">
        <v>2.8</v>
      </c>
      <c r="I138">
        <v>148</v>
      </c>
      <c r="J138" t="s">
        <v>32</v>
      </c>
      <c r="K138" t="str">
        <f t="shared" si="14"/>
        <v>Bad</v>
      </c>
      <c r="L138">
        <f t="shared" si="15"/>
        <v>148</v>
      </c>
      <c r="M138" t="str">
        <f t="shared" si="16"/>
        <v>Medium</v>
      </c>
      <c r="N138" s="4" t="str">
        <f t="shared" si="17"/>
        <v>Saf</v>
      </c>
      <c r="O138" s="4" t="str">
        <f t="shared" si="18"/>
        <v>JIM CORBETT</v>
      </c>
      <c r="P138" s="4" t="str">
        <f t="shared" si="19"/>
        <v>No Comments</v>
      </c>
      <c r="Q138" s="4">
        <f t="shared" si="20"/>
        <v>12</v>
      </c>
    </row>
    <row r="139" spans="1:17">
      <c r="A139">
        <v>1138</v>
      </c>
      <c r="B139" t="s">
        <v>120</v>
      </c>
      <c r="C139" t="s">
        <v>18</v>
      </c>
      <c r="D139" t="s">
        <v>37</v>
      </c>
      <c r="E139" s="1">
        <v>45489</v>
      </c>
      <c r="F139">
        <v>228</v>
      </c>
      <c r="G139" t="s">
        <v>20</v>
      </c>
      <c r="H139">
        <v>3.6</v>
      </c>
      <c r="I139">
        <v>190</v>
      </c>
      <c r="J139" t="s">
        <v>21</v>
      </c>
      <c r="K139" t="str">
        <f t="shared" si="14"/>
        <v>Neutral</v>
      </c>
      <c r="L139">
        <f t="shared" si="15"/>
        <v>190</v>
      </c>
      <c r="M139" t="str">
        <f t="shared" si="16"/>
        <v>Very Long</v>
      </c>
      <c r="N139" s="4" t="str">
        <f t="shared" si="17"/>
        <v>Bir</v>
      </c>
      <c r="O139" s="4" t="str">
        <f t="shared" si="18"/>
        <v>SUNDARBANS</v>
      </c>
      <c r="P139" s="4" t="str">
        <f t="shared" si="19"/>
        <v>Too Crowded</v>
      </c>
      <c r="Q139" s="4">
        <f t="shared" si="20"/>
        <v>12</v>
      </c>
    </row>
    <row r="140" spans="1:17">
      <c r="A140">
        <v>1139</v>
      </c>
      <c r="B140" t="s">
        <v>121</v>
      </c>
      <c r="C140" t="s">
        <v>52</v>
      </c>
      <c r="D140" t="s">
        <v>37</v>
      </c>
      <c r="E140" s="1">
        <v>45449</v>
      </c>
      <c r="F140">
        <v>229</v>
      </c>
      <c r="G140" t="s">
        <v>25</v>
      </c>
      <c r="H140">
        <v>4.0999999999999996</v>
      </c>
      <c r="I140">
        <v>372</v>
      </c>
      <c r="J140" t="s">
        <v>21</v>
      </c>
      <c r="K140" t="str">
        <f t="shared" si="14"/>
        <v>Good</v>
      </c>
      <c r="L140">
        <f t="shared" si="15"/>
        <v>372</v>
      </c>
      <c r="M140" t="str">
        <f t="shared" si="16"/>
        <v>Very Long</v>
      </c>
      <c r="N140" s="4" t="str">
        <f t="shared" si="17"/>
        <v>Bir</v>
      </c>
      <c r="O140" s="4" t="str">
        <f t="shared" si="18"/>
        <v>KAZIRANGA</v>
      </c>
      <c r="P140" s="4" t="str">
        <f t="shared" si="19"/>
        <v>Too Crowded</v>
      </c>
      <c r="Q140" s="4">
        <f t="shared" si="20"/>
        <v>10</v>
      </c>
    </row>
    <row r="141" spans="1:17">
      <c r="A141">
        <v>1140</v>
      </c>
      <c r="B141" t="s">
        <v>105</v>
      </c>
      <c r="C141" t="s">
        <v>18</v>
      </c>
      <c r="D141" t="s">
        <v>48</v>
      </c>
      <c r="E141" s="1">
        <v>45336</v>
      </c>
      <c r="F141">
        <v>141</v>
      </c>
      <c r="G141" t="s">
        <v>46</v>
      </c>
      <c r="H141">
        <v>2.7</v>
      </c>
      <c r="I141">
        <v>268</v>
      </c>
      <c r="J141" t="s">
        <v>30</v>
      </c>
      <c r="K141" t="str">
        <f t="shared" si="14"/>
        <v>Bad</v>
      </c>
      <c r="L141">
        <f t="shared" si="15"/>
        <v>268</v>
      </c>
      <c r="M141" t="str">
        <f t="shared" si="16"/>
        <v>Long</v>
      </c>
      <c r="N141" s="4" t="str">
        <f t="shared" si="17"/>
        <v>Cam</v>
      </c>
      <c r="O141" s="4" t="str">
        <f t="shared" si="18"/>
        <v>SUNDARBANS</v>
      </c>
      <c r="P141" s="4" t="str">
        <f t="shared" si="19"/>
        <v>Good Guide Support</v>
      </c>
      <c r="Q141" s="4">
        <f t="shared" si="20"/>
        <v>12</v>
      </c>
    </row>
    <row r="142" spans="1:17">
      <c r="A142">
        <v>1141</v>
      </c>
      <c r="B142" t="s">
        <v>108</v>
      </c>
      <c r="C142" t="s">
        <v>28</v>
      </c>
      <c r="D142" t="s">
        <v>48</v>
      </c>
      <c r="E142" s="1">
        <v>45520</v>
      </c>
      <c r="F142">
        <v>112</v>
      </c>
      <c r="G142" t="s">
        <v>25</v>
      </c>
      <c r="H142">
        <v>3.3</v>
      </c>
      <c r="I142">
        <v>496</v>
      </c>
      <c r="J142" t="s">
        <v>54</v>
      </c>
      <c r="K142" t="str">
        <f t="shared" si="14"/>
        <v>Neutral</v>
      </c>
      <c r="L142">
        <f t="shared" si="15"/>
        <v>496</v>
      </c>
      <c r="M142" t="str">
        <f t="shared" si="16"/>
        <v>Long</v>
      </c>
      <c r="N142" s="4" t="str">
        <f t="shared" si="17"/>
        <v>Cam</v>
      </c>
      <c r="O142" s="4" t="str">
        <f t="shared" si="18"/>
        <v>PERIYAR</v>
      </c>
      <c r="P142" s="4" t="str">
        <f t="shared" si="19"/>
        <v>Could Be Cleaner</v>
      </c>
      <c r="Q142" s="4">
        <f t="shared" si="20"/>
        <v>10</v>
      </c>
    </row>
    <row r="143" spans="1:17">
      <c r="A143">
        <v>1142</v>
      </c>
      <c r="B143" t="s">
        <v>55</v>
      </c>
      <c r="C143" t="s">
        <v>18</v>
      </c>
      <c r="D143" t="s">
        <v>29</v>
      </c>
      <c r="E143" s="1">
        <v>45629</v>
      </c>
      <c r="F143">
        <v>66</v>
      </c>
      <c r="G143" t="s">
        <v>20</v>
      </c>
      <c r="H143">
        <v>3.1</v>
      </c>
      <c r="I143">
        <v>455</v>
      </c>
      <c r="J143" t="s">
        <v>66</v>
      </c>
      <c r="K143" t="str">
        <f t="shared" si="14"/>
        <v>Neutral</v>
      </c>
      <c r="L143">
        <f t="shared" si="15"/>
        <v>455</v>
      </c>
      <c r="M143" t="str">
        <f t="shared" si="16"/>
        <v>Medium</v>
      </c>
      <c r="N143" s="4" t="str">
        <f t="shared" si="17"/>
        <v>Hik</v>
      </c>
      <c r="O143" s="4" t="str">
        <f t="shared" si="18"/>
        <v>SUNDARBANS</v>
      </c>
      <c r="P143" s="4" t="str">
        <f t="shared" si="19"/>
        <v>Amazing Experience</v>
      </c>
      <c r="Q143" s="4">
        <f t="shared" si="20"/>
        <v>11</v>
      </c>
    </row>
    <row r="144" spans="1:17">
      <c r="A144">
        <v>1143</v>
      </c>
      <c r="B144" t="s">
        <v>59</v>
      </c>
      <c r="C144" t="s">
        <v>41</v>
      </c>
      <c r="D144" t="s">
        <v>24</v>
      </c>
      <c r="E144" s="1">
        <v>45351</v>
      </c>
      <c r="F144">
        <v>166</v>
      </c>
      <c r="G144" t="s">
        <v>20</v>
      </c>
      <c r="H144">
        <v>2.8</v>
      </c>
      <c r="I144">
        <v>316</v>
      </c>
      <c r="J144" t="s">
        <v>66</v>
      </c>
      <c r="K144" t="str">
        <f t="shared" si="14"/>
        <v>Bad</v>
      </c>
      <c r="L144">
        <f t="shared" si="15"/>
        <v>316</v>
      </c>
      <c r="M144" t="str">
        <f t="shared" si="16"/>
        <v>Long</v>
      </c>
      <c r="N144" s="4" t="str">
        <f t="shared" si="17"/>
        <v>Saf</v>
      </c>
      <c r="O144" s="4" t="str">
        <f t="shared" si="18"/>
        <v>JIM CORBETT</v>
      </c>
      <c r="P144" s="4" t="str">
        <f t="shared" si="19"/>
        <v>Amazing Experience</v>
      </c>
      <c r="Q144" s="4">
        <f t="shared" si="20"/>
        <v>11</v>
      </c>
    </row>
    <row r="145" spans="1:17">
      <c r="A145">
        <v>1144</v>
      </c>
      <c r="B145" t="s">
        <v>40</v>
      </c>
      <c r="C145" t="s">
        <v>23</v>
      </c>
      <c r="D145" t="s">
        <v>19</v>
      </c>
      <c r="E145" s="1">
        <v>45335</v>
      </c>
      <c r="F145">
        <v>56</v>
      </c>
      <c r="G145" t="s">
        <v>25</v>
      </c>
      <c r="H145">
        <v>3.4</v>
      </c>
      <c r="I145">
        <v>190</v>
      </c>
      <c r="J145" t="s">
        <v>68</v>
      </c>
      <c r="K145" t="str">
        <f t="shared" si="14"/>
        <v>Neutral</v>
      </c>
      <c r="L145">
        <f t="shared" si="15"/>
        <v>190</v>
      </c>
      <c r="M145" t="str">
        <f t="shared" si="16"/>
        <v>Medium</v>
      </c>
      <c r="N145" s="4" t="str">
        <f t="shared" si="17"/>
        <v>Pho</v>
      </c>
      <c r="O145" s="4" t="str">
        <f t="shared" si="18"/>
        <v>BANDHAVGARH</v>
      </c>
      <c r="P145" s="4" t="str">
        <f t="shared" si="19"/>
        <v>Average Service</v>
      </c>
      <c r="Q145" s="4">
        <f t="shared" si="20"/>
        <v>11</v>
      </c>
    </row>
    <row r="146" spans="1:17">
      <c r="A146">
        <v>1145</v>
      </c>
      <c r="B146" t="s">
        <v>87</v>
      </c>
      <c r="C146" t="s">
        <v>34</v>
      </c>
      <c r="D146" t="s">
        <v>24</v>
      </c>
      <c r="E146" s="1">
        <v>45453</v>
      </c>
      <c r="F146">
        <v>162</v>
      </c>
      <c r="G146" t="s">
        <v>20</v>
      </c>
      <c r="H146">
        <v>2.6</v>
      </c>
      <c r="I146">
        <v>375</v>
      </c>
      <c r="J146" t="s">
        <v>68</v>
      </c>
      <c r="K146" t="str">
        <f t="shared" si="14"/>
        <v>Bad</v>
      </c>
      <c r="L146">
        <f t="shared" si="15"/>
        <v>375</v>
      </c>
      <c r="M146" t="str">
        <f t="shared" si="16"/>
        <v>Long</v>
      </c>
      <c r="N146" s="4" t="str">
        <f t="shared" si="17"/>
        <v>Saf</v>
      </c>
      <c r="O146" s="4" t="str">
        <f t="shared" si="18"/>
        <v>GIR</v>
      </c>
      <c r="P146" s="4" t="str">
        <f t="shared" si="19"/>
        <v>Average Service</v>
      </c>
      <c r="Q146" s="4">
        <f t="shared" si="20"/>
        <v>10</v>
      </c>
    </row>
    <row r="147" spans="1:17">
      <c r="A147">
        <v>1146</v>
      </c>
      <c r="B147" t="s">
        <v>101</v>
      </c>
      <c r="C147" t="s">
        <v>28</v>
      </c>
      <c r="D147" t="s">
        <v>24</v>
      </c>
      <c r="E147" s="1">
        <v>45356</v>
      </c>
      <c r="F147">
        <v>139</v>
      </c>
      <c r="G147" t="s">
        <v>46</v>
      </c>
      <c r="H147">
        <v>4.2</v>
      </c>
      <c r="I147">
        <v>168</v>
      </c>
      <c r="J147" t="s">
        <v>50</v>
      </c>
      <c r="K147" t="str">
        <f t="shared" si="14"/>
        <v>Good</v>
      </c>
      <c r="L147">
        <f t="shared" si="15"/>
        <v>168</v>
      </c>
      <c r="M147" t="str">
        <f t="shared" si="16"/>
        <v>Long</v>
      </c>
      <c r="N147" s="4" t="str">
        <f t="shared" si="17"/>
        <v>Saf</v>
      </c>
      <c r="O147" s="4" t="str">
        <f t="shared" si="18"/>
        <v>PERIYAR</v>
      </c>
      <c r="P147" s="4" t="str">
        <f t="shared" si="19"/>
        <v>Saw Rare Species</v>
      </c>
      <c r="Q147" s="4">
        <f t="shared" si="20"/>
        <v>11</v>
      </c>
    </row>
    <row r="148" spans="1:17">
      <c r="A148">
        <v>1147</v>
      </c>
      <c r="B148" t="s">
        <v>71</v>
      </c>
      <c r="C148" t="s">
        <v>23</v>
      </c>
      <c r="D148" t="s">
        <v>48</v>
      </c>
      <c r="E148" s="1">
        <v>45350</v>
      </c>
      <c r="F148">
        <v>170</v>
      </c>
      <c r="G148" t="s">
        <v>25</v>
      </c>
      <c r="H148">
        <v>3.8</v>
      </c>
      <c r="I148">
        <v>393</v>
      </c>
      <c r="J148" t="s">
        <v>66</v>
      </c>
      <c r="K148" t="str">
        <f t="shared" si="14"/>
        <v>Neutral</v>
      </c>
      <c r="L148">
        <f t="shared" si="15"/>
        <v>393</v>
      </c>
      <c r="M148" t="str">
        <f t="shared" si="16"/>
        <v>Long</v>
      </c>
      <c r="N148" s="4" t="str">
        <f t="shared" si="17"/>
        <v>Cam</v>
      </c>
      <c r="O148" s="4" t="str">
        <f t="shared" si="18"/>
        <v>BANDHAVGARH</v>
      </c>
      <c r="P148" s="4" t="str">
        <f t="shared" si="19"/>
        <v>Amazing Experience</v>
      </c>
      <c r="Q148" s="4">
        <f t="shared" si="20"/>
        <v>11</v>
      </c>
    </row>
    <row r="149" spans="1:17">
      <c r="A149">
        <v>1148</v>
      </c>
      <c r="B149" t="s">
        <v>122</v>
      </c>
      <c r="C149" t="s">
        <v>41</v>
      </c>
      <c r="D149" t="s">
        <v>29</v>
      </c>
      <c r="E149" s="1">
        <v>45372</v>
      </c>
      <c r="F149">
        <v>93</v>
      </c>
      <c r="G149" t="s">
        <v>20</v>
      </c>
      <c r="H149">
        <v>3.8</v>
      </c>
      <c r="I149">
        <v>161</v>
      </c>
      <c r="J149" t="s">
        <v>26</v>
      </c>
      <c r="K149" t="str">
        <f t="shared" si="14"/>
        <v>Neutral</v>
      </c>
      <c r="L149">
        <f t="shared" si="15"/>
        <v>161</v>
      </c>
      <c r="M149" t="str">
        <f t="shared" si="16"/>
        <v>Long</v>
      </c>
      <c r="N149" s="4" t="str">
        <f t="shared" si="17"/>
        <v>Hik</v>
      </c>
      <c r="O149" s="4" t="str">
        <f t="shared" si="18"/>
        <v>JIM CORBETT</v>
      </c>
      <c r="P149" s="4" t="str">
        <f t="shared" si="19"/>
        <v>Excellent Wildlife View</v>
      </c>
      <c r="Q149" s="4">
        <f t="shared" si="20"/>
        <v>12</v>
      </c>
    </row>
    <row r="150" spans="1:17">
      <c r="A150">
        <v>1149</v>
      </c>
      <c r="B150" t="s">
        <v>123</v>
      </c>
      <c r="C150" t="s">
        <v>52</v>
      </c>
      <c r="D150" t="s">
        <v>37</v>
      </c>
      <c r="E150" s="1">
        <v>45566</v>
      </c>
      <c r="F150">
        <v>226</v>
      </c>
      <c r="G150" t="s">
        <v>38</v>
      </c>
      <c r="H150">
        <v>4.3</v>
      </c>
      <c r="I150">
        <v>164</v>
      </c>
      <c r="J150" t="s">
        <v>35</v>
      </c>
      <c r="K150" t="str">
        <f t="shared" si="14"/>
        <v>Good</v>
      </c>
      <c r="L150">
        <f t="shared" si="15"/>
        <v>164</v>
      </c>
      <c r="M150" t="str">
        <f t="shared" si="16"/>
        <v>Very Long</v>
      </c>
      <c r="N150" s="4" t="str">
        <f t="shared" si="17"/>
        <v>Bir</v>
      </c>
      <c r="O150" s="4" t="str">
        <f t="shared" si="18"/>
        <v>KAZIRANGA</v>
      </c>
      <c r="P150" s="4" t="str">
        <f t="shared" si="19"/>
        <v>Very Enjoyable</v>
      </c>
      <c r="Q150" s="4">
        <f t="shared" si="20"/>
        <v>11</v>
      </c>
    </row>
    <row r="151" spans="1:17">
      <c r="A151">
        <v>1150</v>
      </c>
      <c r="B151" t="s">
        <v>118</v>
      </c>
      <c r="C151" t="s">
        <v>34</v>
      </c>
      <c r="D151" t="s">
        <v>37</v>
      </c>
      <c r="E151" s="1">
        <v>45633</v>
      </c>
      <c r="F151">
        <v>219</v>
      </c>
      <c r="G151" t="s">
        <v>38</v>
      </c>
      <c r="H151">
        <v>3.3</v>
      </c>
      <c r="I151">
        <v>478</v>
      </c>
      <c r="J151" t="s">
        <v>66</v>
      </c>
      <c r="K151" t="str">
        <f t="shared" si="14"/>
        <v>Neutral</v>
      </c>
      <c r="L151">
        <f t="shared" si="15"/>
        <v>478</v>
      </c>
      <c r="M151" t="str">
        <f t="shared" si="16"/>
        <v>Very Long</v>
      </c>
      <c r="N151" s="4" t="str">
        <f t="shared" si="17"/>
        <v>Bir</v>
      </c>
      <c r="O151" s="4" t="str">
        <f t="shared" si="18"/>
        <v>GIR</v>
      </c>
      <c r="P151" s="4" t="str">
        <f t="shared" si="19"/>
        <v>Amazing Experience</v>
      </c>
      <c r="Q151" s="4">
        <f t="shared" si="20"/>
        <v>12</v>
      </c>
    </row>
    <row r="152" spans="1:17">
      <c r="A152">
        <v>1151</v>
      </c>
      <c r="B152" t="s">
        <v>88</v>
      </c>
      <c r="C152" t="s">
        <v>23</v>
      </c>
      <c r="D152" t="s">
        <v>37</v>
      </c>
      <c r="E152" s="1">
        <v>45310</v>
      </c>
      <c r="F152">
        <v>216</v>
      </c>
      <c r="G152" t="s">
        <v>46</v>
      </c>
      <c r="H152">
        <v>3.2</v>
      </c>
      <c r="I152">
        <v>470</v>
      </c>
      <c r="J152" t="s">
        <v>73</v>
      </c>
      <c r="K152" t="str">
        <f t="shared" si="14"/>
        <v>Neutral</v>
      </c>
      <c r="L152">
        <f t="shared" si="15"/>
        <v>470</v>
      </c>
      <c r="M152" t="str">
        <f t="shared" si="16"/>
        <v>Very Long</v>
      </c>
      <c r="N152" s="4" t="str">
        <f t="shared" si="17"/>
        <v>Bir</v>
      </c>
      <c r="O152" s="4" t="str">
        <f t="shared" si="18"/>
        <v>BANDHAVGARH</v>
      </c>
      <c r="P152" s="4" t="str">
        <f t="shared" si="19"/>
        <v>Peaceful Environment</v>
      </c>
      <c r="Q152" s="4">
        <f t="shared" si="20"/>
        <v>13</v>
      </c>
    </row>
    <row r="153" spans="1:17">
      <c r="A153">
        <v>1152</v>
      </c>
      <c r="B153" t="s">
        <v>85</v>
      </c>
      <c r="C153" t="s">
        <v>34</v>
      </c>
      <c r="D153" t="s">
        <v>29</v>
      </c>
      <c r="E153" s="1">
        <v>45324</v>
      </c>
      <c r="F153">
        <v>67</v>
      </c>
      <c r="G153" t="s">
        <v>20</v>
      </c>
      <c r="H153">
        <v>2.8</v>
      </c>
      <c r="I153">
        <v>272</v>
      </c>
      <c r="J153" t="s">
        <v>30</v>
      </c>
      <c r="K153" t="str">
        <f t="shared" si="14"/>
        <v>Bad</v>
      </c>
      <c r="L153">
        <f t="shared" si="15"/>
        <v>272</v>
      </c>
      <c r="M153" t="str">
        <f t="shared" si="16"/>
        <v>Medium</v>
      </c>
      <c r="N153" s="4" t="str">
        <f t="shared" si="17"/>
        <v>Hik</v>
      </c>
      <c r="O153" s="4" t="str">
        <f t="shared" si="18"/>
        <v>GIR</v>
      </c>
      <c r="P153" s="4" t="str">
        <f t="shared" si="19"/>
        <v>Good Guide Support</v>
      </c>
      <c r="Q153" s="4">
        <f t="shared" si="20"/>
        <v>9</v>
      </c>
    </row>
    <row r="154" spans="1:17">
      <c r="A154">
        <v>1153</v>
      </c>
      <c r="B154" t="s">
        <v>121</v>
      </c>
      <c r="C154" t="s">
        <v>28</v>
      </c>
      <c r="D154" t="s">
        <v>48</v>
      </c>
      <c r="E154" s="1">
        <v>45371</v>
      </c>
      <c r="F154">
        <v>202</v>
      </c>
      <c r="G154" t="s">
        <v>46</v>
      </c>
      <c r="H154">
        <v>3.2</v>
      </c>
      <c r="I154">
        <v>443</v>
      </c>
      <c r="J154" t="s">
        <v>73</v>
      </c>
      <c r="K154" t="str">
        <f t="shared" si="14"/>
        <v>Neutral</v>
      </c>
      <c r="L154">
        <f t="shared" si="15"/>
        <v>443</v>
      </c>
      <c r="M154" t="str">
        <f t="shared" si="16"/>
        <v>Very Long</v>
      </c>
      <c r="N154" s="4" t="str">
        <f t="shared" si="17"/>
        <v>Cam</v>
      </c>
      <c r="O154" s="4" t="str">
        <f t="shared" si="18"/>
        <v>PERIYAR</v>
      </c>
      <c r="P154" s="4" t="str">
        <f t="shared" si="19"/>
        <v>Peaceful Environment</v>
      </c>
      <c r="Q154" s="4">
        <f t="shared" si="20"/>
        <v>10</v>
      </c>
    </row>
    <row r="155" spans="1:17">
      <c r="A155">
        <v>1154</v>
      </c>
      <c r="B155" t="s">
        <v>92</v>
      </c>
      <c r="C155" t="s">
        <v>23</v>
      </c>
      <c r="D155" t="s">
        <v>37</v>
      </c>
      <c r="E155" s="1">
        <v>45579</v>
      </c>
      <c r="F155">
        <v>82</v>
      </c>
      <c r="G155" t="s">
        <v>25</v>
      </c>
      <c r="H155">
        <v>3</v>
      </c>
      <c r="I155">
        <v>334</v>
      </c>
      <c r="J155" t="s">
        <v>32</v>
      </c>
      <c r="K155" t="str">
        <f t="shared" si="14"/>
        <v>Neutral</v>
      </c>
      <c r="L155">
        <f t="shared" si="15"/>
        <v>334</v>
      </c>
      <c r="M155" t="str">
        <f t="shared" si="16"/>
        <v>Medium</v>
      </c>
      <c r="N155" s="4" t="str">
        <f t="shared" si="17"/>
        <v>Bir</v>
      </c>
      <c r="O155" s="4" t="str">
        <f t="shared" si="18"/>
        <v>BANDHAVGARH</v>
      </c>
      <c r="P155" s="4" t="str">
        <f t="shared" si="19"/>
        <v>No Comments</v>
      </c>
      <c r="Q155" s="4">
        <f t="shared" si="20"/>
        <v>11</v>
      </c>
    </row>
    <row r="156" spans="1:17">
      <c r="A156">
        <v>1155</v>
      </c>
      <c r="B156" t="s">
        <v>55</v>
      </c>
      <c r="C156" t="s">
        <v>28</v>
      </c>
      <c r="D156" t="s">
        <v>48</v>
      </c>
      <c r="E156" s="1">
        <v>45550</v>
      </c>
      <c r="F156">
        <v>213</v>
      </c>
      <c r="G156" t="s">
        <v>25</v>
      </c>
      <c r="H156">
        <v>4.7</v>
      </c>
      <c r="I156">
        <v>378</v>
      </c>
      <c r="J156" t="s">
        <v>50</v>
      </c>
      <c r="K156" t="str">
        <f t="shared" si="14"/>
        <v>Good</v>
      </c>
      <c r="L156">
        <f t="shared" si="15"/>
        <v>378</v>
      </c>
      <c r="M156" t="str">
        <f t="shared" si="16"/>
        <v>Very Long</v>
      </c>
      <c r="N156" s="4" t="str">
        <f t="shared" si="17"/>
        <v>Cam</v>
      </c>
      <c r="O156" s="4" t="str">
        <f t="shared" si="18"/>
        <v>PERIYAR</v>
      </c>
      <c r="P156" s="4" t="str">
        <f t="shared" si="19"/>
        <v>Saw Rare Species</v>
      </c>
      <c r="Q156" s="4">
        <f t="shared" si="20"/>
        <v>11</v>
      </c>
    </row>
    <row r="157" spans="1:17">
      <c r="A157">
        <v>1156</v>
      </c>
      <c r="B157" t="s">
        <v>84</v>
      </c>
      <c r="C157" t="s">
        <v>43</v>
      </c>
      <c r="D157" t="s">
        <v>48</v>
      </c>
      <c r="E157" s="1">
        <v>45532</v>
      </c>
      <c r="F157">
        <v>24</v>
      </c>
      <c r="G157" t="s">
        <v>25</v>
      </c>
      <c r="H157">
        <v>4.3</v>
      </c>
      <c r="I157">
        <v>247</v>
      </c>
      <c r="J157" t="s">
        <v>68</v>
      </c>
      <c r="K157" t="str">
        <f t="shared" si="14"/>
        <v>Good</v>
      </c>
      <c r="L157">
        <f t="shared" si="15"/>
        <v>247</v>
      </c>
      <c r="M157" t="str">
        <f t="shared" si="16"/>
        <v>Short</v>
      </c>
      <c r="N157" s="4" t="str">
        <f t="shared" si="17"/>
        <v>Cam</v>
      </c>
      <c r="O157" s="4" t="str">
        <f t="shared" si="18"/>
        <v>RANTHAMBORE</v>
      </c>
      <c r="P157" s="4" t="str">
        <f t="shared" si="19"/>
        <v>Average Service</v>
      </c>
      <c r="Q157" s="4">
        <f t="shared" si="20"/>
        <v>12</v>
      </c>
    </row>
    <row r="158" spans="1:17">
      <c r="A158">
        <v>1157</v>
      </c>
      <c r="B158" t="s">
        <v>42</v>
      </c>
      <c r="C158" t="s">
        <v>23</v>
      </c>
      <c r="D158" t="s">
        <v>29</v>
      </c>
      <c r="E158" s="1">
        <v>45500</v>
      </c>
      <c r="F158">
        <v>30</v>
      </c>
      <c r="G158" t="s">
        <v>25</v>
      </c>
      <c r="H158">
        <v>2.7</v>
      </c>
      <c r="I158">
        <v>319</v>
      </c>
      <c r="J158" t="s">
        <v>30</v>
      </c>
      <c r="K158" t="str">
        <f t="shared" si="14"/>
        <v>Bad</v>
      </c>
      <c r="L158">
        <f t="shared" si="15"/>
        <v>319</v>
      </c>
      <c r="M158" t="str">
        <f t="shared" si="16"/>
        <v>Medium</v>
      </c>
      <c r="N158" s="4" t="str">
        <f t="shared" si="17"/>
        <v>Hik</v>
      </c>
      <c r="O158" s="4" t="str">
        <f t="shared" si="18"/>
        <v>BANDHAVGARH</v>
      </c>
      <c r="P158" s="4" t="str">
        <f t="shared" si="19"/>
        <v>Good Guide Support</v>
      </c>
      <c r="Q158" s="4">
        <f t="shared" si="20"/>
        <v>9</v>
      </c>
    </row>
    <row r="159" spans="1:17">
      <c r="A159">
        <v>1158</v>
      </c>
      <c r="B159" t="s">
        <v>60</v>
      </c>
      <c r="C159" t="s">
        <v>45</v>
      </c>
      <c r="D159" t="s">
        <v>24</v>
      </c>
      <c r="E159" s="1">
        <v>45324</v>
      </c>
      <c r="F159">
        <v>148</v>
      </c>
      <c r="G159" t="s">
        <v>46</v>
      </c>
      <c r="H159">
        <v>4.8</v>
      </c>
      <c r="I159">
        <v>212</v>
      </c>
      <c r="J159" t="s">
        <v>54</v>
      </c>
      <c r="K159" t="str">
        <f t="shared" si="14"/>
        <v>Good</v>
      </c>
      <c r="L159">
        <f t="shared" si="15"/>
        <v>212</v>
      </c>
      <c r="M159" t="str">
        <f t="shared" si="16"/>
        <v>Long</v>
      </c>
      <c r="N159" s="4" t="str">
        <f t="shared" si="17"/>
        <v>Saf</v>
      </c>
      <c r="O159" s="4" t="str">
        <f t="shared" si="18"/>
        <v>KANHA</v>
      </c>
      <c r="P159" s="4" t="str">
        <f t="shared" si="19"/>
        <v>Could Be Cleaner</v>
      </c>
      <c r="Q159" s="4">
        <f t="shared" si="20"/>
        <v>11</v>
      </c>
    </row>
    <row r="160" spans="1:17">
      <c r="A160">
        <v>1159</v>
      </c>
      <c r="B160" t="s">
        <v>124</v>
      </c>
      <c r="C160" t="s">
        <v>52</v>
      </c>
      <c r="D160" t="s">
        <v>53</v>
      </c>
      <c r="E160" s="1">
        <v>45589</v>
      </c>
      <c r="F160">
        <v>81</v>
      </c>
      <c r="G160" t="s">
        <v>25</v>
      </c>
      <c r="H160">
        <v>4</v>
      </c>
      <c r="I160">
        <v>358</v>
      </c>
      <c r="J160" t="s">
        <v>32</v>
      </c>
      <c r="K160" t="str">
        <f t="shared" si="14"/>
        <v>Neutral</v>
      </c>
      <c r="L160">
        <f t="shared" si="15"/>
        <v>358</v>
      </c>
      <c r="M160" t="str">
        <f t="shared" si="16"/>
        <v>Medium</v>
      </c>
      <c r="N160" s="4" t="str">
        <f t="shared" si="17"/>
        <v>Boa</v>
      </c>
      <c r="O160" s="4" t="str">
        <f t="shared" si="18"/>
        <v>KAZIRANGA</v>
      </c>
      <c r="P160" s="4" t="str">
        <f t="shared" si="19"/>
        <v>No Comments</v>
      </c>
      <c r="Q160" s="4">
        <f t="shared" si="20"/>
        <v>11</v>
      </c>
    </row>
    <row r="161" spans="1:17">
      <c r="A161">
        <v>1160</v>
      </c>
      <c r="B161" t="s">
        <v>125</v>
      </c>
      <c r="C161" t="s">
        <v>18</v>
      </c>
      <c r="D161" t="s">
        <v>53</v>
      </c>
      <c r="E161" s="1">
        <v>45627</v>
      </c>
      <c r="F161">
        <v>40</v>
      </c>
      <c r="G161" t="s">
        <v>38</v>
      </c>
      <c r="H161">
        <v>4.8</v>
      </c>
      <c r="I161">
        <v>228</v>
      </c>
      <c r="J161" t="s">
        <v>26</v>
      </c>
      <c r="K161" t="str">
        <f t="shared" si="14"/>
        <v>Good</v>
      </c>
      <c r="L161">
        <f t="shared" si="15"/>
        <v>228</v>
      </c>
      <c r="M161" t="str">
        <f t="shared" si="16"/>
        <v>Medium</v>
      </c>
      <c r="N161" s="4" t="str">
        <f t="shared" si="17"/>
        <v>Boa</v>
      </c>
      <c r="O161" s="4" t="str">
        <f t="shared" si="18"/>
        <v>SUNDARBANS</v>
      </c>
      <c r="P161" s="4" t="str">
        <f t="shared" si="19"/>
        <v>Excellent Wildlife View</v>
      </c>
      <c r="Q161" s="4">
        <f t="shared" si="20"/>
        <v>11</v>
      </c>
    </row>
    <row r="162" spans="1:17">
      <c r="A162">
        <v>1161</v>
      </c>
      <c r="B162" t="s">
        <v>81</v>
      </c>
      <c r="C162" t="s">
        <v>34</v>
      </c>
      <c r="D162" t="s">
        <v>53</v>
      </c>
      <c r="E162" s="1">
        <v>45576</v>
      </c>
      <c r="F162">
        <v>233</v>
      </c>
      <c r="G162" t="s">
        <v>46</v>
      </c>
      <c r="H162">
        <v>4.5999999999999996</v>
      </c>
      <c r="I162">
        <v>430</v>
      </c>
      <c r="J162" t="s">
        <v>54</v>
      </c>
      <c r="K162" t="str">
        <f t="shared" si="14"/>
        <v>Good</v>
      </c>
      <c r="L162">
        <f t="shared" si="15"/>
        <v>430</v>
      </c>
      <c r="M162" t="str">
        <f t="shared" si="16"/>
        <v>Very Long</v>
      </c>
      <c r="N162" s="4" t="str">
        <f t="shared" si="17"/>
        <v>Boa</v>
      </c>
      <c r="O162" s="4" t="str">
        <f t="shared" si="18"/>
        <v>GIR</v>
      </c>
      <c r="P162" s="4" t="str">
        <f t="shared" si="19"/>
        <v>Could Be Cleaner</v>
      </c>
      <c r="Q162" s="4">
        <f t="shared" si="20"/>
        <v>11</v>
      </c>
    </row>
    <row r="163" spans="1:17">
      <c r="A163">
        <v>1162</v>
      </c>
      <c r="B163" t="s">
        <v>75</v>
      </c>
      <c r="C163" t="s">
        <v>41</v>
      </c>
      <c r="D163" t="s">
        <v>29</v>
      </c>
      <c r="E163" s="1">
        <v>45563</v>
      </c>
      <c r="F163">
        <v>118</v>
      </c>
      <c r="G163" t="s">
        <v>38</v>
      </c>
      <c r="H163">
        <v>3.9</v>
      </c>
      <c r="I163">
        <v>484</v>
      </c>
      <c r="J163" t="s">
        <v>35</v>
      </c>
      <c r="K163" t="str">
        <f t="shared" si="14"/>
        <v>Neutral</v>
      </c>
      <c r="L163">
        <f t="shared" si="15"/>
        <v>484</v>
      </c>
      <c r="M163" t="str">
        <f t="shared" si="16"/>
        <v>Long</v>
      </c>
      <c r="N163" s="4" t="str">
        <f t="shared" si="17"/>
        <v>Hik</v>
      </c>
      <c r="O163" s="4" t="str">
        <f t="shared" si="18"/>
        <v>JIM CORBETT</v>
      </c>
      <c r="P163" s="4" t="str">
        <f t="shared" si="19"/>
        <v>Very Enjoyable</v>
      </c>
      <c r="Q163" s="4">
        <f t="shared" si="20"/>
        <v>12</v>
      </c>
    </row>
    <row r="164" spans="1:17">
      <c r="A164">
        <v>1163</v>
      </c>
      <c r="B164" t="s">
        <v>75</v>
      </c>
      <c r="C164" t="s">
        <v>45</v>
      </c>
      <c r="D164" t="s">
        <v>53</v>
      </c>
      <c r="E164" s="1">
        <v>45465</v>
      </c>
      <c r="F164">
        <v>215</v>
      </c>
      <c r="G164" t="s">
        <v>25</v>
      </c>
      <c r="H164">
        <v>3.9</v>
      </c>
      <c r="I164">
        <v>236</v>
      </c>
      <c r="J164" t="s">
        <v>26</v>
      </c>
      <c r="K164" t="str">
        <f t="shared" si="14"/>
        <v>Neutral</v>
      </c>
      <c r="L164">
        <f t="shared" si="15"/>
        <v>236</v>
      </c>
      <c r="M164" t="str">
        <f t="shared" si="16"/>
        <v>Very Long</v>
      </c>
      <c r="N164" s="4" t="str">
        <f t="shared" si="17"/>
        <v>Boa</v>
      </c>
      <c r="O164" s="4" t="str">
        <f t="shared" si="18"/>
        <v>KANHA</v>
      </c>
      <c r="P164" s="4" t="str">
        <f t="shared" si="19"/>
        <v>Excellent Wildlife View</v>
      </c>
      <c r="Q164" s="4">
        <f t="shared" si="20"/>
        <v>12</v>
      </c>
    </row>
    <row r="165" spans="1:17">
      <c r="A165">
        <v>1164</v>
      </c>
      <c r="B165" t="s">
        <v>17</v>
      </c>
      <c r="C165" t="s">
        <v>34</v>
      </c>
      <c r="D165" t="s">
        <v>24</v>
      </c>
      <c r="E165" s="1">
        <v>45568</v>
      </c>
      <c r="F165">
        <v>153</v>
      </c>
      <c r="G165" t="s">
        <v>46</v>
      </c>
      <c r="H165">
        <v>4</v>
      </c>
      <c r="I165">
        <v>277</v>
      </c>
      <c r="J165" t="s">
        <v>73</v>
      </c>
      <c r="K165" t="str">
        <f t="shared" si="14"/>
        <v>Neutral</v>
      </c>
      <c r="L165">
        <f t="shared" si="15"/>
        <v>277</v>
      </c>
      <c r="M165" t="str">
        <f t="shared" si="16"/>
        <v>Long</v>
      </c>
      <c r="N165" s="4" t="str">
        <f t="shared" si="17"/>
        <v>Saf</v>
      </c>
      <c r="O165" s="4" t="str">
        <f t="shared" si="18"/>
        <v>GIR</v>
      </c>
      <c r="P165" s="4" t="str">
        <f t="shared" si="19"/>
        <v>Peaceful Environment</v>
      </c>
      <c r="Q165" s="4">
        <f t="shared" si="20"/>
        <v>11</v>
      </c>
    </row>
    <row r="166" spans="1:17">
      <c r="A166">
        <v>1165</v>
      </c>
      <c r="B166" t="s">
        <v>97</v>
      </c>
      <c r="C166" t="s">
        <v>45</v>
      </c>
      <c r="D166" t="s">
        <v>48</v>
      </c>
      <c r="E166" s="1">
        <v>45445</v>
      </c>
      <c r="F166">
        <v>94</v>
      </c>
      <c r="G166" t="s">
        <v>25</v>
      </c>
      <c r="H166">
        <v>4.5</v>
      </c>
      <c r="I166">
        <v>315</v>
      </c>
      <c r="J166" t="s">
        <v>30</v>
      </c>
      <c r="K166" t="str">
        <f t="shared" si="14"/>
        <v>Good</v>
      </c>
      <c r="L166">
        <f t="shared" si="15"/>
        <v>315</v>
      </c>
      <c r="M166" t="str">
        <f t="shared" si="16"/>
        <v>Long</v>
      </c>
      <c r="N166" s="4" t="str">
        <f t="shared" si="17"/>
        <v>Cam</v>
      </c>
      <c r="O166" s="4" t="str">
        <f t="shared" si="18"/>
        <v>KANHA</v>
      </c>
      <c r="P166" s="4" t="str">
        <f t="shared" si="19"/>
        <v>Good Guide Support</v>
      </c>
      <c r="Q166" s="4">
        <f t="shared" si="20"/>
        <v>11</v>
      </c>
    </row>
    <row r="167" spans="1:17">
      <c r="A167">
        <v>1166</v>
      </c>
      <c r="B167" t="s">
        <v>61</v>
      </c>
      <c r="C167" t="s">
        <v>18</v>
      </c>
      <c r="D167" t="s">
        <v>24</v>
      </c>
      <c r="E167" s="1">
        <v>45303</v>
      </c>
      <c r="F167">
        <v>121</v>
      </c>
      <c r="G167" t="s">
        <v>46</v>
      </c>
      <c r="H167">
        <v>2.8</v>
      </c>
      <c r="I167">
        <v>351</v>
      </c>
      <c r="J167" t="s">
        <v>54</v>
      </c>
      <c r="K167" t="str">
        <f t="shared" si="14"/>
        <v>Bad</v>
      </c>
      <c r="L167">
        <f t="shared" si="15"/>
        <v>351</v>
      </c>
      <c r="M167" t="str">
        <f t="shared" si="16"/>
        <v>Long</v>
      </c>
      <c r="N167" s="4" t="str">
        <f t="shared" si="17"/>
        <v>Saf</v>
      </c>
      <c r="O167" s="4" t="str">
        <f t="shared" si="18"/>
        <v>SUNDARBANS</v>
      </c>
      <c r="P167" s="4" t="str">
        <f t="shared" si="19"/>
        <v>Could Be Cleaner</v>
      </c>
      <c r="Q167" s="4">
        <f t="shared" si="20"/>
        <v>11</v>
      </c>
    </row>
    <row r="168" spans="1:17">
      <c r="A168">
        <v>1167</v>
      </c>
      <c r="B168" t="s">
        <v>126</v>
      </c>
      <c r="C168" t="s">
        <v>45</v>
      </c>
      <c r="D168" t="s">
        <v>37</v>
      </c>
      <c r="E168" s="1">
        <v>45418</v>
      </c>
      <c r="F168">
        <v>72</v>
      </c>
      <c r="G168" t="s">
        <v>46</v>
      </c>
      <c r="H168">
        <v>3.3</v>
      </c>
      <c r="I168">
        <v>441</v>
      </c>
      <c r="J168" t="s">
        <v>66</v>
      </c>
      <c r="K168" t="str">
        <f t="shared" si="14"/>
        <v>Neutral</v>
      </c>
      <c r="L168">
        <f t="shared" si="15"/>
        <v>441</v>
      </c>
      <c r="M168" t="str">
        <f t="shared" si="16"/>
        <v>Medium</v>
      </c>
      <c r="N168" s="4" t="str">
        <f t="shared" si="17"/>
        <v>Bir</v>
      </c>
      <c r="O168" s="4" t="str">
        <f t="shared" si="18"/>
        <v>KANHA</v>
      </c>
      <c r="P168" s="4" t="str">
        <f t="shared" si="19"/>
        <v>Amazing Experience</v>
      </c>
      <c r="Q168" s="4">
        <f t="shared" si="20"/>
        <v>9</v>
      </c>
    </row>
    <row r="169" spans="1:17">
      <c r="A169">
        <v>1168</v>
      </c>
      <c r="B169" t="s">
        <v>127</v>
      </c>
      <c r="C169" t="s">
        <v>18</v>
      </c>
      <c r="D169" t="s">
        <v>19</v>
      </c>
      <c r="E169" s="1">
        <v>45493</v>
      </c>
      <c r="F169">
        <v>177</v>
      </c>
      <c r="G169" t="s">
        <v>38</v>
      </c>
      <c r="H169">
        <v>3.7</v>
      </c>
      <c r="I169">
        <v>401</v>
      </c>
      <c r="J169" t="s">
        <v>26</v>
      </c>
      <c r="K169" t="str">
        <f t="shared" si="14"/>
        <v>Neutral</v>
      </c>
      <c r="L169">
        <f t="shared" si="15"/>
        <v>401</v>
      </c>
      <c r="M169" t="str">
        <f t="shared" si="16"/>
        <v>Long</v>
      </c>
      <c r="N169" s="4" t="str">
        <f t="shared" si="17"/>
        <v>Pho</v>
      </c>
      <c r="O169" s="4" t="str">
        <f t="shared" si="18"/>
        <v>SUNDARBANS</v>
      </c>
      <c r="P169" s="4" t="str">
        <f t="shared" si="19"/>
        <v>Excellent Wildlife View</v>
      </c>
      <c r="Q169" s="4">
        <f t="shared" si="20"/>
        <v>10</v>
      </c>
    </row>
    <row r="170" spans="1:17">
      <c r="A170">
        <v>1169</v>
      </c>
      <c r="B170" t="s">
        <v>56</v>
      </c>
      <c r="C170" t="s">
        <v>41</v>
      </c>
      <c r="D170" t="s">
        <v>37</v>
      </c>
      <c r="E170" s="1">
        <v>45304</v>
      </c>
      <c r="F170">
        <v>46</v>
      </c>
      <c r="G170" t="s">
        <v>25</v>
      </c>
      <c r="H170">
        <v>4.3</v>
      </c>
      <c r="I170">
        <v>448</v>
      </c>
      <c r="J170" t="s">
        <v>35</v>
      </c>
      <c r="K170" t="str">
        <f t="shared" si="14"/>
        <v>Good</v>
      </c>
      <c r="L170">
        <f t="shared" si="15"/>
        <v>448</v>
      </c>
      <c r="M170" t="str">
        <f t="shared" si="16"/>
        <v>Medium</v>
      </c>
      <c r="N170" s="4" t="str">
        <f t="shared" si="17"/>
        <v>Bir</v>
      </c>
      <c r="O170" s="4" t="str">
        <f t="shared" si="18"/>
        <v>JIM CORBETT</v>
      </c>
      <c r="P170" s="4" t="str">
        <f t="shared" si="19"/>
        <v>Very Enjoyable</v>
      </c>
      <c r="Q170" s="4">
        <f t="shared" si="20"/>
        <v>12</v>
      </c>
    </row>
    <row r="171" spans="1:17">
      <c r="A171">
        <v>1170</v>
      </c>
      <c r="B171" t="s">
        <v>87</v>
      </c>
      <c r="C171" t="s">
        <v>52</v>
      </c>
      <c r="D171" t="s">
        <v>53</v>
      </c>
      <c r="E171" s="1">
        <v>45448</v>
      </c>
      <c r="F171">
        <v>185</v>
      </c>
      <c r="G171" t="s">
        <v>46</v>
      </c>
      <c r="H171">
        <v>3.6</v>
      </c>
      <c r="I171">
        <v>462</v>
      </c>
      <c r="J171" t="s">
        <v>26</v>
      </c>
      <c r="K171" t="str">
        <f t="shared" si="14"/>
        <v>Neutral</v>
      </c>
      <c r="L171">
        <f t="shared" si="15"/>
        <v>462</v>
      </c>
      <c r="M171" t="str">
        <f t="shared" si="16"/>
        <v>Very Long</v>
      </c>
      <c r="N171" s="4" t="str">
        <f t="shared" si="17"/>
        <v>Boa</v>
      </c>
      <c r="O171" s="4" t="str">
        <f t="shared" si="18"/>
        <v>KAZIRANGA</v>
      </c>
      <c r="P171" s="4" t="str">
        <f t="shared" si="19"/>
        <v>Excellent Wildlife View</v>
      </c>
      <c r="Q171" s="4">
        <f t="shared" si="20"/>
        <v>10</v>
      </c>
    </row>
    <row r="172" spans="1:17">
      <c r="A172">
        <v>1171</v>
      </c>
      <c r="B172" t="s">
        <v>44</v>
      </c>
      <c r="C172" t="s">
        <v>45</v>
      </c>
      <c r="D172" t="s">
        <v>48</v>
      </c>
      <c r="E172" s="1">
        <v>45581</v>
      </c>
      <c r="F172">
        <v>222</v>
      </c>
      <c r="G172" t="s">
        <v>25</v>
      </c>
      <c r="H172">
        <v>4.3</v>
      </c>
      <c r="I172">
        <v>114</v>
      </c>
      <c r="J172" t="s">
        <v>54</v>
      </c>
      <c r="K172" t="str">
        <f t="shared" si="14"/>
        <v>Good</v>
      </c>
      <c r="L172">
        <f t="shared" si="15"/>
        <v>114</v>
      </c>
      <c r="M172" t="str">
        <f t="shared" si="16"/>
        <v>Very Long</v>
      </c>
      <c r="N172" s="4" t="str">
        <f t="shared" si="17"/>
        <v>Cam</v>
      </c>
      <c r="O172" s="4" t="str">
        <f t="shared" si="18"/>
        <v>KANHA</v>
      </c>
      <c r="P172" s="4" t="str">
        <f t="shared" si="19"/>
        <v>Could Be Cleaner</v>
      </c>
      <c r="Q172" s="4">
        <f t="shared" si="20"/>
        <v>11</v>
      </c>
    </row>
    <row r="173" spans="1:17">
      <c r="A173">
        <v>1172</v>
      </c>
      <c r="B173" t="s">
        <v>125</v>
      </c>
      <c r="C173" t="s">
        <v>41</v>
      </c>
      <c r="D173" t="s">
        <v>24</v>
      </c>
      <c r="E173" s="1">
        <v>45525</v>
      </c>
      <c r="F173">
        <v>26</v>
      </c>
      <c r="G173" t="s">
        <v>25</v>
      </c>
      <c r="H173">
        <v>4.5</v>
      </c>
      <c r="I173">
        <v>296</v>
      </c>
      <c r="J173" t="s">
        <v>30</v>
      </c>
      <c r="K173" t="str">
        <f t="shared" si="14"/>
        <v>Good</v>
      </c>
      <c r="L173">
        <f t="shared" si="15"/>
        <v>296</v>
      </c>
      <c r="M173" t="str">
        <f t="shared" si="16"/>
        <v>Short</v>
      </c>
      <c r="N173" s="4" t="str">
        <f t="shared" si="17"/>
        <v>Saf</v>
      </c>
      <c r="O173" s="4" t="str">
        <f t="shared" si="18"/>
        <v>JIM CORBETT</v>
      </c>
      <c r="P173" s="4" t="str">
        <f t="shared" si="19"/>
        <v>Good Guide Support</v>
      </c>
      <c r="Q173" s="4">
        <f t="shared" si="20"/>
        <v>11</v>
      </c>
    </row>
    <row r="174" spans="1:17">
      <c r="A174">
        <v>1173</v>
      </c>
      <c r="B174" t="s">
        <v>128</v>
      </c>
      <c r="C174" t="s">
        <v>34</v>
      </c>
      <c r="D174" t="s">
        <v>24</v>
      </c>
      <c r="E174" s="1">
        <v>45351</v>
      </c>
      <c r="F174">
        <v>166</v>
      </c>
      <c r="G174" t="s">
        <v>20</v>
      </c>
      <c r="H174">
        <v>4.2</v>
      </c>
      <c r="I174">
        <v>392</v>
      </c>
      <c r="J174" t="s">
        <v>68</v>
      </c>
      <c r="K174" t="str">
        <f t="shared" si="14"/>
        <v>Good</v>
      </c>
      <c r="L174">
        <f t="shared" si="15"/>
        <v>392</v>
      </c>
      <c r="M174" t="str">
        <f t="shared" si="16"/>
        <v>Long</v>
      </c>
      <c r="N174" s="4" t="str">
        <f t="shared" si="17"/>
        <v>Saf</v>
      </c>
      <c r="O174" s="4" t="str">
        <f t="shared" si="18"/>
        <v>GIR</v>
      </c>
      <c r="P174" s="4" t="str">
        <f t="shared" si="19"/>
        <v>Average Service</v>
      </c>
      <c r="Q174" s="4">
        <f t="shared" si="20"/>
        <v>11</v>
      </c>
    </row>
    <row r="175" spans="1:17">
      <c r="A175">
        <v>1174</v>
      </c>
      <c r="B175" t="s">
        <v>115</v>
      </c>
      <c r="C175" t="s">
        <v>28</v>
      </c>
      <c r="D175" t="s">
        <v>37</v>
      </c>
      <c r="E175" s="1">
        <v>45329</v>
      </c>
      <c r="F175">
        <v>100</v>
      </c>
      <c r="G175" t="s">
        <v>46</v>
      </c>
      <c r="H175">
        <v>3.5</v>
      </c>
      <c r="I175">
        <v>264</v>
      </c>
      <c r="J175" t="s">
        <v>73</v>
      </c>
      <c r="K175" t="str">
        <f t="shared" si="14"/>
        <v>Neutral</v>
      </c>
      <c r="L175">
        <f t="shared" si="15"/>
        <v>264</v>
      </c>
      <c r="M175" t="str">
        <f t="shared" si="16"/>
        <v>Long</v>
      </c>
      <c r="N175" s="4" t="str">
        <f t="shared" si="17"/>
        <v>Bir</v>
      </c>
      <c r="O175" s="4" t="str">
        <f t="shared" si="18"/>
        <v>PERIYAR</v>
      </c>
      <c r="P175" s="4" t="str">
        <f t="shared" si="19"/>
        <v>Peaceful Environment</v>
      </c>
      <c r="Q175" s="4">
        <f t="shared" si="20"/>
        <v>10</v>
      </c>
    </row>
    <row r="176" spans="1:17">
      <c r="A176">
        <v>1175</v>
      </c>
      <c r="B176" t="s">
        <v>104</v>
      </c>
      <c r="C176" t="s">
        <v>41</v>
      </c>
      <c r="D176" t="s">
        <v>19</v>
      </c>
      <c r="E176" s="1">
        <v>45425</v>
      </c>
      <c r="F176">
        <v>64</v>
      </c>
      <c r="G176" t="s">
        <v>20</v>
      </c>
      <c r="H176">
        <v>4.8</v>
      </c>
      <c r="I176">
        <v>441</v>
      </c>
      <c r="J176" t="s">
        <v>35</v>
      </c>
      <c r="K176" t="str">
        <f t="shared" si="14"/>
        <v>Good</v>
      </c>
      <c r="L176">
        <f t="shared" si="15"/>
        <v>441</v>
      </c>
      <c r="M176" t="str">
        <f t="shared" si="16"/>
        <v>Medium</v>
      </c>
      <c r="N176" s="4" t="str">
        <f t="shared" si="17"/>
        <v>Pho</v>
      </c>
      <c r="O176" s="4" t="str">
        <f t="shared" si="18"/>
        <v>JIM CORBETT</v>
      </c>
      <c r="P176" s="4" t="str">
        <f t="shared" si="19"/>
        <v>Very Enjoyable</v>
      </c>
      <c r="Q176" s="4">
        <f t="shared" si="20"/>
        <v>11</v>
      </c>
    </row>
    <row r="177" spans="1:17">
      <c r="A177">
        <v>1176</v>
      </c>
      <c r="B177" t="s">
        <v>95</v>
      </c>
      <c r="C177" t="s">
        <v>18</v>
      </c>
      <c r="D177" t="s">
        <v>48</v>
      </c>
      <c r="E177" s="1">
        <v>45318</v>
      </c>
      <c r="F177">
        <v>54</v>
      </c>
      <c r="G177" t="s">
        <v>20</v>
      </c>
      <c r="H177">
        <v>4.3</v>
      </c>
      <c r="I177">
        <v>447</v>
      </c>
      <c r="J177" t="s">
        <v>73</v>
      </c>
      <c r="K177" t="str">
        <f t="shared" si="14"/>
        <v>Good</v>
      </c>
      <c r="L177">
        <f t="shared" si="15"/>
        <v>447</v>
      </c>
      <c r="M177" t="str">
        <f t="shared" si="16"/>
        <v>Medium</v>
      </c>
      <c r="N177" s="4" t="str">
        <f t="shared" si="17"/>
        <v>Cam</v>
      </c>
      <c r="O177" s="4" t="str">
        <f t="shared" si="18"/>
        <v>SUNDARBANS</v>
      </c>
      <c r="P177" s="4" t="str">
        <f t="shared" si="19"/>
        <v>Peaceful Environment</v>
      </c>
      <c r="Q177" s="4">
        <f t="shared" si="20"/>
        <v>11</v>
      </c>
    </row>
    <row r="178" spans="1:17">
      <c r="A178">
        <v>1177</v>
      </c>
      <c r="B178" t="s">
        <v>80</v>
      </c>
      <c r="C178" t="s">
        <v>28</v>
      </c>
      <c r="D178" t="s">
        <v>29</v>
      </c>
      <c r="E178" s="1">
        <v>45340</v>
      </c>
      <c r="F178">
        <v>223</v>
      </c>
      <c r="G178" t="s">
        <v>25</v>
      </c>
      <c r="H178">
        <v>3.9</v>
      </c>
      <c r="I178">
        <v>209</v>
      </c>
      <c r="J178" t="s">
        <v>35</v>
      </c>
      <c r="K178" t="str">
        <f t="shared" si="14"/>
        <v>Neutral</v>
      </c>
      <c r="L178">
        <f t="shared" si="15"/>
        <v>209</v>
      </c>
      <c r="M178" t="str">
        <f t="shared" si="16"/>
        <v>Very Long</v>
      </c>
      <c r="N178" s="4" t="str">
        <f t="shared" si="17"/>
        <v>Hik</v>
      </c>
      <c r="O178" s="4" t="str">
        <f t="shared" si="18"/>
        <v>PERIYAR</v>
      </c>
      <c r="P178" s="4" t="str">
        <f t="shared" si="19"/>
        <v>Very Enjoyable</v>
      </c>
      <c r="Q178" s="4">
        <f t="shared" si="20"/>
        <v>12</v>
      </c>
    </row>
    <row r="179" spans="1:17">
      <c r="A179">
        <v>1178</v>
      </c>
      <c r="B179" t="s">
        <v>104</v>
      </c>
      <c r="C179" t="s">
        <v>45</v>
      </c>
      <c r="D179" t="s">
        <v>53</v>
      </c>
      <c r="E179" s="1">
        <v>45370</v>
      </c>
      <c r="F179">
        <v>103</v>
      </c>
      <c r="G179" t="s">
        <v>25</v>
      </c>
      <c r="H179">
        <v>2.8</v>
      </c>
      <c r="I179">
        <v>474</v>
      </c>
      <c r="J179" t="s">
        <v>50</v>
      </c>
      <c r="K179" t="str">
        <f t="shared" si="14"/>
        <v>Bad</v>
      </c>
      <c r="L179">
        <f t="shared" si="15"/>
        <v>474</v>
      </c>
      <c r="M179" t="str">
        <f t="shared" si="16"/>
        <v>Long</v>
      </c>
      <c r="N179" s="4" t="str">
        <f t="shared" si="17"/>
        <v>Boa</v>
      </c>
      <c r="O179" s="4" t="str">
        <f t="shared" si="18"/>
        <v>KANHA</v>
      </c>
      <c r="P179" s="4" t="str">
        <f t="shared" si="19"/>
        <v>Saw Rare Species</v>
      </c>
      <c r="Q179" s="4">
        <f t="shared" si="20"/>
        <v>11</v>
      </c>
    </row>
    <row r="180" spans="1:17">
      <c r="A180">
        <v>1179</v>
      </c>
      <c r="B180" t="s">
        <v>76</v>
      </c>
      <c r="C180" t="s">
        <v>41</v>
      </c>
      <c r="D180" t="s">
        <v>53</v>
      </c>
      <c r="E180" s="1">
        <v>45419</v>
      </c>
      <c r="F180">
        <v>168</v>
      </c>
      <c r="G180" t="s">
        <v>38</v>
      </c>
      <c r="H180">
        <v>3.8</v>
      </c>
      <c r="I180">
        <v>191</v>
      </c>
      <c r="J180" t="s">
        <v>35</v>
      </c>
      <c r="K180" t="str">
        <f t="shared" si="14"/>
        <v>Neutral</v>
      </c>
      <c r="L180">
        <f t="shared" si="15"/>
        <v>191</v>
      </c>
      <c r="M180" t="str">
        <f t="shared" si="16"/>
        <v>Long</v>
      </c>
      <c r="N180" s="4" t="str">
        <f t="shared" si="17"/>
        <v>Boa</v>
      </c>
      <c r="O180" s="4" t="str">
        <f t="shared" si="18"/>
        <v>JIM CORBETT</v>
      </c>
      <c r="P180" s="4" t="str">
        <f t="shared" si="19"/>
        <v>Very Enjoyable</v>
      </c>
      <c r="Q180" s="4">
        <f t="shared" si="20"/>
        <v>11</v>
      </c>
    </row>
    <row r="181" spans="1:17">
      <c r="A181">
        <v>1180</v>
      </c>
      <c r="B181" t="s">
        <v>99</v>
      </c>
      <c r="C181" t="s">
        <v>34</v>
      </c>
      <c r="D181" t="s">
        <v>24</v>
      </c>
      <c r="E181" s="1">
        <v>45578</v>
      </c>
      <c r="F181">
        <v>121</v>
      </c>
      <c r="G181" t="s">
        <v>38</v>
      </c>
      <c r="H181">
        <v>3.4</v>
      </c>
      <c r="I181">
        <v>433</v>
      </c>
      <c r="J181" t="s">
        <v>54</v>
      </c>
      <c r="K181" t="str">
        <f t="shared" si="14"/>
        <v>Neutral</v>
      </c>
      <c r="L181">
        <f t="shared" si="15"/>
        <v>433</v>
      </c>
      <c r="M181" t="str">
        <f t="shared" si="16"/>
        <v>Long</v>
      </c>
      <c r="N181" s="4" t="str">
        <f t="shared" si="17"/>
        <v>Saf</v>
      </c>
      <c r="O181" s="4" t="str">
        <f t="shared" si="18"/>
        <v>GIR</v>
      </c>
      <c r="P181" s="4" t="str">
        <f t="shared" si="19"/>
        <v>Could Be Cleaner</v>
      </c>
      <c r="Q181" s="4">
        <f t="shared" si="20"/>
        <v>11</v>
      </c>
    </row>
    <row r="182" spans="1:17">
      <c r="A182">
        <v>1181</v>
      </c>
      <c r="B182" t="s">
        <v>129</v>
      </c>
      <c r="C182" t="s">
        <v>41</v>
      </c>
      <c r="D182" t="s">
        <v>53</v>
      </c>
      <c r="E182" s="1">
        <v>45601</v>
      </c>
      <c r="F182">
        <v>124</v>
      </c>
      <c r="G182" t="s">
        <v>46</v>
      </c>
      <c r="H182">
        <v>2.9</v>
      </c>
      <c r="I182">
        <v>389</v>
      </c>
      <c r="J182" t="s">
        <v>30</v>
      </c>
      <c r="K182" t="str">
        <f t="shared" si="14"/>
        <v>Bad</v>
      </c>
      <c r="L182">
        <f t="shared" si="15"/>
        <v>389</v>
      </c>
      <c r="M182" t="str">
        <f t="shared" si="16"/>
        <v>Long</v>
      </c>
      <c r="N182" s="4" t="str">
        <f t="shared" si="17"/>
        <v>Boa</v>
      </c>
      <c r="O182" s="4" t="str">
        <f t="shared" si="18"/>
        <v>JIM CORBETT</v>
      </c>
      <c r="P182" s="4" t="str">
        <f t="shared" si="19"/>
        <v>Good Guide Support</v>
      </c>
      <c r="Q182" s="4">
        <f t="shared" si="20"/>
        <v>12</v>
      </c>
    </row>
    <row r="183" spans="1:17">
      <c r="A183">
        <v>1182</v>
      </c>
      <c r="B183" t="s">
        <v>56</v>
      </c>
      <c r="C183" t="s">
        <v>43</v>
      </c>
      <c r="D183" t="s">
        <v>29</v>
      </c>
      <c r="E183" s="1">
        <v>45607</v>
      </c>
      <c r="F183">
        <v>181</v>
      </c>
      <c r="G183" t="s">
        <v>20</v>
      </c>
      <c r="H183">
        <v>3.6</v>
      </c>
      <c r="I183">
        <v>302</v>
      </c>
      <c r="J183" t="s">
        <v>21</v>
      </c>
      <c r="K183" t="str">
        <f t="shared" si="14"/>
        <v>Neutral</v>
      </c>
      <c r="L183">
        <f t="shared" si="15"/>
        <v>302</v>
      </c>
      <c r="M183" t="str">
        <f t="shared" si="16"/>
        <v>Very Long</v>
      </c>
      <c r="N183" s="4" t="str">
        <f t="shared" si="17"/>
        <v>Hik</v>
      </c>
      <c r="O183" s="4" t="str">
        <f t="shared" si="18"/>
        <v>RANTHAMBORE</v>
      </c>
      <c r="P183" s="4" t="str">
        <f t="shared" si="19"/>
        <v>Too Crowded</v>
      </c>
      <c r="Q183" s="4">
        <f t="shared" si="20"/>
        <v>12</v>
      </c>
    </row>
    <row r="184" spans="1:17">
      <c r="A184">
        <v>1183</v>
      </c>
      <c r="B184" t="s">
        <v>108</v>
      </c>
      <c r="C184" t="s">
        <v>28</v>
      </c>
      <c r="D184" t="s">
        <v>48</v>
      </c>
      <c r="E184" s="1">
        <v>45340</v>
      </c>
      <c r="F184">
        <v>57</v>
      </c>
      <c r="G184" t="s">
        <v>38</v>
      </c>
      <c r="H184">
        <v>4.2</v>
      </c>
      <c r="I184">
        <v>291</v>
      </c>
      <c r="J184" t="s">
        <v>66</v>
      </c>
      <c r="K184" t="str">
        <f t="shared" si="14"/>
        <v>Good</v>
      </c>
      <c r="L184">
        <f t="shared" si="15"/>
        <v>291</v>
      </c>
      <c r="M184" t="str">
        <f t="shared" si="16"/>
        <v>Medium</v>
      </c>
      <c r="N184" s="4" t="str">
        <f t="shared" si="17"/>
        <v>Cam</v>
      </c>
      <c r="O184" s="4" t="str">
        <f t="shared" si="18"/>
        <v>PERIYAR</v>
      </c>
      <c r="P184" s="4" t="str">
        <f t="shared" si="19"/>
        <v>Amazing Experience</v>
      </c>
      <c r="Q184" s="4">
        <f t="shared" si="20"/>
        <v>10</v>
      </c>
    </row>
    <row r="185" spans="1:17">
      <c r="A185">
        <v>1184</v>
      </c>
      <c r="B185" t="s">
        <v>130</v>
      </c>
      <c r="C185" t="s">
        <v>43</v>
      </c>
      <c r="D185" t="s">
        <v>19</v>
      </c>
      <c r="E185" s="1">
        <v>45454</v>
      </c>
      <c r="F185">
        <v>57</v>
      </c>
      <c r="G185" t="s">
        <v>38</v>
      </c>
      <c r="H185">
        <v>2.6</v>
      </c>
      <c r="I185">
        <v>407</v>
      </c>
      <c r="J185" t="s">
        <v>73</v>
      </c>
      <c r="K185" t="str">
        <f t="shared" si="14"/>
        <v>Bad</v>
      </c>
      <c r="L185">
        <f t="shared" si="15"/>
        <v>407</v>
      </c>
      <c r="M185" t="str">
        <f t="shared" si="16"/>
        <v>Medium</v>
      </c>
      <c r="N185" s="4" t="str">
        <f t="shared" si="17"/>
        <v>Pho</v>
      </c>
      <c r="O185" s="4" t="str">
        <f t="shared" si="18"/>
        <v>RANTHAMBORE</v>
      </c>
      <c r="P185" s="4" t="str">
        <f t="shared" si="19"/>
        <v>Peaceful Environment</v>
      </c>
      <c r="Q185" s="4">
        <f t="shared" si="20"/>
        <v>9</v>
      </c>
    </row>
    <row r="186" spans="1:17">
      <c r="A186">
        <v>1185</v>
      </c>
      <c r="B186" t="s">
        <v>131</v>
      </c>
      <c r="C186" t="s">
        <v>23</v>
      </c>
      <c r="D186" t="s">
        <v>48</v>
      </c>
      <c r="E186" s="1">
        <v>45327</v>
      </c>
      <c r="F186">
        <v>126</v>
      </c>
      <c r="G186" t="s">
        <v>46</v>
      </c>
      <c r="H186">
        <v>3.9</v>
      </c>
      <c r="I186">
        <v>429</v>
      </c>
      <c r="J186" t="s">
        <v>73</v>
      </c>
      <c r="K186" t="str">
        <f t="shared" si="14"/>
        <v>Neutral</v>
      </c>
      <c r="L186">
        <f t="shared" si="15"/>
        <v>429</v>
      </c>
      <c r="M186" t="str">
        <f t="shared" si="16"/>
        <v>Long</v>
      </c>
      <c r="N186" s="4" t="str">
        <f t="shared" si="17"/>
        <v>Cam</v>
      </c>
      <c r="O186" s="4" t="str">
        <f t="shared" si="18"/>
        <v>BANDHAVGARH</v>
      </c>
      <c r="P186" s="4" t="str">
        <f t="shared" si="19"/>
        <v>Peaceful Environment</v>
      </c>
      <c r="Q186" s="4">
        <f t="shared" si="20"/>
        <v>11</v>
      </c>
    </row>
    <row r="187" spans="1:17">
      <c r="A187">
        <v>1186</v>
      </c>
      <c r="B187" t="s">
        <v>39</v>
      </c>
      <c r="C187" t="s">
        <v>45</v>
      </c>
      <c r="D187" t="s">
        <v>48</v>
      </c>
      <c r="E187" s="1">
        <v>45654</v>
      </c>
      <c r="F187">
        <v>208</v>
      </c>
      <c r="G187" t="s">
        <v>20</v>
      </c>
      <c r="H187">
        <v>4</v>
      </c>
      <c r="I187">
        <v>267</v>
      </c>
      <c r="J187" t="s">
        <v>50</v>
      </c>
      <c r="K187" t="str">
        <f t="shared" si="14"/>
        <v>Neutral</v>
      </c>
      <c r="L187">
        <f t="shared" si="15"/>
        <v>267</v>
      </c>
      <c r="M187" t="str">
        <f t="shared" si="16"/>
        <v>Very Long</v>
      </c>
      <c r="N187" s="4" t="str">
        <f t="shared" si="17"/>
        <v>Cam</v>
      </c>
      <c r="O187" s="4" t="str">
        <f t="shared" si="18"/>
        <v>KANHA</v>
      </c>
      <c r="P187" s="4" t="str">
        <f t="shared" si="19"/>
        <v>Saw Rare Species</v>
      </c>
      <c r="Q187" s="4">
        <f t="shared" si="20"/>
        <v>11</v>
      </c>
    </row>
    <row r="188" spans="1:17">
      <c r="A188">
        <v>1187</v>
      </c>
      <c r="B188" t="s">
        <v>124</v>
      </c>
      <c r="C188" t="s">
        <v>52</v>
      </c>
      <c r="D188" t="s">
        <v>37</v>
      </c>
      <c r="E188" s="1">
        <v>45646</v>
      </c>
      <c r="F188">
        <v>102</v>
      </c>
      <c r="G188" t="s">
        <v>25</v>
      </c>
      <c r="H188">
        <v>3.7</v>
      </c>
      <c r="I188">
        <v>117</v>
      </c>
      <c r="J188" t="s">
        <v>73</v>
      </c>
      <c r="K188" t="str">
        <f t="shared" si="14"/>
        <v>Neutral</v>
      </c>
      <c r="L188">
        <f t="shared" si="15"/>
        <v>117</v>
      </c>
      <c r="M188" t="str">
        <f t="shared" si="16"/>
        <v>Long</v>
      </c>
      <c r="N188" s="4" t="str">
        <f t="shared" si="17"/>
        <v>Bir</v>
      </c>
      <c r="O188" s="4" t="str">
        <f t="shared" si="18"/>
        <v>KAZIRANGA</v>
      </c>
      <c r="P188" s="4" t="str">
        <f t="shared" si="19"/>
        <v>Peaceful Environment</v>
      </c>
      <c r="Q188" s="4">
        <f t="shared" si="20"/>
        <v>11</v>
      </c>
    </row>
    <row r="189" spans="1:17">
      <c r="A189">
        <v>1188</v>
      </c>
      <c r="B189" t="s">
        <v>92</v>
      </c>
      <c r="C189" t="s">
        <v>43</v>
      </c>
      <c r="D189" t="s">
        <v>48</v>
      </c>
      <c r="E189" s="1">
        <v>45432</v>
      </c>
      <c r="F189">
        <v>140</v>
      </c>
      <c r="G189" t="s">
        <v>20</v>
      </c>
      <c r="H189">
        <v>3.7</v>
      </c>
      <c r="I189">
        <v>238</v>
      </c>
      <c r="J189" t="s">
        <v>21</v>
      </c>
      <c r="K189" t="str">
        <f t="shared" si="14"/>
        <v>Neutral</v>
      </c>
      <c r="L189">
        <f t="shared" si="15"/>
        <v>238</v>
      </c>
      <c r="M189" t="str">
        <f t="shared" si="16"/>
        <v>Long</v>
      </c>
      <c r="N189" s="4" t="str">
        <f t="shared" si="17"/>
        <v>Cam</v>
      </c>
      <c r="O189" s="4" t="str">
        <f t="shared" si="18"/>
        <v>RANTHAMBORE</v>
      </c>
      <c r="P189" s="4" t="str">
        <f t="shared" si="19"/>
        <v>Too Crowded</v>
      </c>
      <c r="Q189" s="4">
        <f t="shared" si="20"/>
        <v>11</v>
      </c>
    </row>
    <row r="190" spans="1:17">
      <c r="A190">
        <v>1189</v>
      </c>
      <c r="B190" t="s">
        <v>132</v>
      </c>
      <c r="C190" t="s">
        <v>28</v>
      </c>
      <c r="D190" t="s">
        <v>19</v>
      </c>
      <c r="E190" s="1">
        <v>45403</v>
      </c>
      <c r="F190">
        <v>24</v>
      </c>
      <c r="G190" t="s">
        <v>38</v>
      </c>
      <c r="H190">
        <v>4.0999999999999996</v>
      </c>
      <c r="I190">
        <v>481</v>
      </c>
      <c r="J190" t="s">
        <v>50</v>
      </c>
      <c r="K190" t="str">
        <f t="shared" si="14"/>
        <v>Good</v>
      </c>
      <c r="L190">
        <f t="shared" si="15"/>
        <v>481</v>
      </c>
      <c r="M190" t="str">
        <f t="shared" si="16"/>
        <v>Short</v>
      </c>
      <c r="N190" s="4" t="str">
        <f t="shared" si="17"/>
        <v>Pho</v>
      </c>
      <c r="O190" s="4" t="str">
        <f t="shared" si="18"/>
        <v>PERIYAR</v>
      </c>
      <c r="P190" s="4" t="str">
        <f t="shared" si="19"/>
        <v>Saw Rare Species</v>
      </c>
      <c r="Q190" s="4">
        <f t="shared" si="20"/>
        <v>12</v>
      </c>
    </row>
    <row r="191" spans="1:17">
      <c r="A191">
        <v>1190</v>
      </c>
      <c r="B191" t="s">
        <v>94</v>
      </c>
      <c r="C191" t="s">
        <v>45</v>
      </c>
      <c r="D191" t="s">
        <v>19</v>
      </c>
      <c r="E191" s="1">
        <v>45580</v>
      </c>
      <c r="F191">
        <v>212</v>
      </c>
      <c r="G191" t="s">
        <v>20</v>
      </c>
      <c r="H191">
        <v>2.8</v>
      </c>
      <c r="I191">
        <v>240</v>
      </c>
      <c r="J191" t="s">
        <v>30</v>
      </c>
      <c r="K191" t="str">
        <f t="shared" si="14"/>
        <v>Bad</v>
      </c>
      <c r="L191">
        <f t="shared" si="15"/>
        <v>240</v>
      </c>
      <c r="M191" t="str">
        <f t="shared" si="16"/>
        <v>Very Long</v>
      </c>
      <c r="N191" s="4" t="str">
        <f t="shared" si="17"/>
        <v>Pho</v>
      </c>
      <c r="O191" s="4" t="str">
        <f t="shared" si="18"/>
        <v>KANHA</v>
      </c>
      <c r="P191" s="4" t="str">
        <f t="shared" si="19"/>
        <v>Good Guide Support</v>
      </c>
      <c r="Q191" s="4">
        <f t="shared" si="20"/>
        <v>9</v>
      </c>
    </row>
    <row r="192" spans="1:17">
      <c r="A192">
        <v>1191</v>
      </c>
      <c r="B192" t="s">
        <v>102</v>
      </c>
      <c r="C192" t="s">
        <v>18</v>
      </c>
      <c r="D192" t="s">
        <v>19</v>
      </c>
      <c r="E192" s="1">
        <v>45549</v>
      </c>
      <c r="F192">
        <v>131</v>
      </c>
      <c r="G192" t="s">
        <v>25</v>
      </c>
      <c r="H192">
        <v>2.8</v>
      </c>
      <c r="I192">
        <v>347</v>
      </c>
      <c r="J192" t="s">
        <v>21</v>
      </c>
      <c r="K192" t="str">
        <f t="shared" si="14"/>
        <v>Bad</v>
      </c>
      <c r="L192">
        <f t="shared" si="15"/>
        <v>347</v>
      </c>
      <c r="M192" t="str">
        <f t="shared" si="16"/>
        <v>Long</v>
      </c>
      <c r="N192" s="4" t="str">
        <f t="shared" si="17"/>
        <v>Pho</v>
      </c>
      <c r="O192" s="4" t="str">
        <f t="shared" si="18"/>
        <v>SUNDARBANS</v>
      </c>
      <c r="P192" s="4" t="str">
        <f t="shared" si="19"/>
        <v>Too Crowded</v>
      </c>
      <c r="Q192" s="4">
        <f t="shared" si="20"/>
        <v>12</v>
      </c>
    </row>
    <row r="193" spans="1:17">
      <c r="A193">
        <v>1192</v>
      </c>
      <c r="B193" t="s">
        <v>129</v>
      </c>
      <c r="C193" t="s">
        <v>23</v>
      </c>
      <c r="D193" t="s">
        <v>48</v>
      </c>
      <c r="E193" s="1">
        <v>45456</v>
      </c>
      <c r="F193">
        <v>33</v>
      </c>
      <c r="G193" t="s">
        <v>25</v>
      </c>
      <c r="H193">
        <v>4.5</v>
      </c>
      <c r="I193">
        <v>264</v>
      </c>
      <c r="J193" t="s">
        <v>50</v>
      </c>
      <c r="K193" t="str">
        <f t="shared" si="14"/>
        <v>Good</v>
      </c>
      <c r="L193">
        <f t="shared" si="15"/>
        <v>264</v>
      </c>
      <c r="M193" t="str">
        <f t="shared" si="16"/>
        <v>Medium</v>
      </c>
      <c r="N193" s="4" t="str">
        <f t="shared" si="17"/>
        <v>Cam</v>
      </c>
      <c r="O193" s="4" t="str">
        <f t="shared" si="18"/>
        <v>BANDHAVGARH</v>
      </c>
      <c r="P193" s="4" t="str">
        <f t="shared" si="19"/>
        <v>Saw Rare Species</v>
      </c>
      <c r="Q193" s="4">
        <f t="shared" si="20"/>
        <v>12</v>
      </c>
    </row>
    <row r="194" spans="1:17">
      <c r="A194">
        <v>1193</v>
      </c>
      <c r="B194" t="s">
        <v>96</v>
      </c>
      <c r="C194" t="s">
        <v>34</v>
      </c>
      <c r="D194" t="s">
        <v>19</v>
      </c>
      <c r="E194" s="1">
        <v>45424</v>
      </c>
      <c r="F194">
        <v>116</v>
      </c>
      <c r="G194" t="s">
        <v>25</v>
      </c>
      <c r="H194">
        <v>4.0999999999999996</v>
      </c>
      <c r="I194">
        <v>214</v>
      </c>
      <c r="J194" t="s">
        <v>32</v>
      </c>
      <c r="K194" t="str">
        <f t="shared" ref="K194:K257" si="21">IF(H194&gt;4,"Good",IF(H194&gt;=3,"Neutral","Bad"))</f>
        <v>Good</v>
      </c>
      <c r="L194">
        <f t="shared" ref="L194:L257" si="22">ROUND(I194,0)</f>
        <v>214</v>
      </c>
      <c r="M194" t="str">
        <f t="shared" ref="M194:M257" si="23">IF(F194&lt;30,"Short",IF(F194&lt;90,"Medium",IF(F194&lt;180,"Long","Very Long")))</f>
        <v>Long</v>
      </c>
      <c r="N194" s="4" t="str">
        <f t="shared" ref="N194:N257" si="24">LEFT(D194,3)</f>
        <v>Pho</v>
      </c>
      <c r="O194" s="4" t="str">
        <f t="shared" ref="O194:O257" si="25">UPPER(C194)</f>
        <v>GIR</v>
      </c>
      <c r="P194" s="4" t="str">
        <f t="shared" ref="P194:P257" si="26">PROPER(J194)</f>
        <v>No Comments</v>
      </c>
      <c r="Q194" s="4">
        <f t="shared" ref="Q194:Q257" si="27">LEN(B194)</f>
        <v>10</v>
      </c>
    </row>
    <row r="195" spans="1:17">
      <c r="A195">
        <v>1194</v>
      </c>
      <c r="B195" t="s">
        <v>105</v>
      </c>
      <c r="C195" t="s">
        <v>18</v>
      </c>
      <c r="D195" t="s">
        <v>53</v>
      </c>
      <c r="E195" s="1">
        <v>45593</v>
      </c>
      <c r="F195">
        <v>217</v>
      </c>
      <c r="G195" t="s">
        <v>46</v>
      </c>
      <c r="H195">
        <v>4.2</v>
      </c>
      <c r="I195">
        <v>260</v>
      </c>
      <c r="J195" t="s">
        <v>66</v>
      </c>
      <c r="K195" t="str">
        <f t="shared" si="21"/>
        <v>Good</v>
      </c>
      <c r="L195">
        <f t="shared" si="22"/>
        <v>260</v>
      </c>
      <c r="M195" t="str">
        <f t="shared" si="23"/>
        <v>Very Long</v>
      </c>
      <c r="N195" s="4" t="str">
        <f t="shared" si="24"/>
        <v>Boa</v>
      </c>
      <c r="O195" s="4" t="str">
        <f t="shared" si="25"/>
        <v>SUNDARBANS</v>
      </c>
      <c r="P195" s="4" t="str">
        <f t="shared" si="26"/>
        <v>Amazing Experience</v>
      </c>
      <c r="Q195" s="4">
        <f t="shared" si="27"/>
        <v>12</v>
      </c>
    </row>
    <row r="196" spans="1:17">
      <c r="A196">
        <v>1195</v>
      </c>
      <c r="B196" t="s">
        <v>17</v>
      </c>
      <c r="C196" t="s">
        <v>41</v>
      </c>
      <c r="D196" t="s">
        <v>19</v>
      </c>
      <c r="E196" s="1">
        <v>45476</v>
      </c>
      <c r="F196">
        <v>232</v>
      </c>
      <c r="G196" t="s">
        <v>46</v>
      </c>
      <c r="H196">
        <v>4.7</v>
      </c>
      <c r="I196">
        <v>147</v>
      </c>
      <c r="J196" t="s">
        <v>68</v>
      </c>
      <c r="K196" t="str">
        <f t="shared" si="21"/>
        <v>Good</v>
      </c>
      <c r="L196">
        <f t="shared" si="22"/>
        <v>147</v>
      </c>
      <c r="M196" t="str">
        <f t="shared" si="23"/>
        <v>Very Long</v>
      </c>
      <c r="N196" s="4" t="str">
        <f t="shared" si="24"/>
        <v>Pho</v>
      </c>
      <c r="O196" s="4" t="str">
        <f t="shared" si="25"/>
        <v>JIM CORBETT</v>
      </c>
      <c r="P196" s="4" t="str">
        <f t="shared" si="26"/>
        <v>Average Service</v>
      </c>
      <c r="Q196" s="4">
        <f t="shared" si="27"/>
        <v>11</v>
      </c>
    </row>
    <row r="197" spans="1:17">
      <c r="A197">
        <v>1196</v>
      </c>
      <c r="B197" t="s">
        <v>124</v>
      </c>
      <c r="C197" t="s">
        <v>34</v>
      </c>
      <c r="D197" t="s">
        <v>37</v>
      </c>
      <c r="E197" s="1">
        <v>45638</v>
      </c>
      <c r="F197">
        <v>228</v>
      </c>
      <c r="G197" t="s">
        <v>25</v>
      </c>
      <c r="H197">
        <v>4.7</v>
      </c>
      <c r="I197">
        <v>283</v>
      </c>
      <c r="J197" t="s">
        <v>66</v>
      </c>
      <c r="K197" t="str">
        <f t="shared" si="21"/>
        <v>Good</v>
      </c>
      <c r="L197">
        <f t="shared" si="22"/>
        <v>283</v>
      </c>
      <c r="M197" t="str">
        <f t="shared" si="23"/>
        <v>Very Long</v>
      </c>
      <c r="N197" s="4" t="str">
        <f t="shared" si="24"/>
        <v>Bir</v>
      </c>
      <c r="O197" s="4" t="str">
        <f t="shared" si="25"/>
        <v>GIR</v>
      </c>
      <c r="P197" s="4" t="str">
        <f t="shared" si="26"/>
        <v>Amazing Experience</v>
      </c>
      <c r="Q197" s="4">
        <f t="shared" si="27"/>
        <v>11</v>
      </c>
    </row>
    <row r="198" spans="1:17">
      <c r="A198">
        <v>1197</v>
      </c>
      <c r="B198" t="s">
        <v>79</v>
      </c>
      <c r="C198" t="s">
        <v>34</v>
      </c>
      <c r="D198" t="s">
        <v>53</v>
      </c>
      <c r="E198" s="1">
        <v>45465</v>
      </c>
      <c r="F198">
        <v>130</v>
      </c>
      <c r="G198" t="s">
        <v>25</v>
      </c>
      <c r="H198">
        <v>4.5</v>
      </c>
      <c r="I198">
        <v>388</v>
      </c>
      <c r="J198" t="s">
        <v>66</v>
      </c>
      <c r="K198" t="str">
        <f t="shared" si="21"/>
        <v>Good</v>
      </c>
      <c r="L198">
        <f t="shared" si="22"/>
        <v>388</v>
      </c>
      <c r="M198" t="str">
        <f t="shared" si="23"/>
        <v>Long</v>
      </c>
      <c r="N198" s="4" t="str">
        <f t="shared" si="24"/>
        <v>Boa</v>
      </c>
      <c r="O198" s="4" t="str">
        <f t="shared" si="25"/>
        <v>GIR</v>
      </c>
      <c r="P198" s="4" t="str">
        <f t="shared" si="26"/>
        <v>Amazing Experience</v>
      </c>
      <c r="Q198" s="4">
        <f t="shared" si="27"/>
        <v>11</v>
      </c>
    </row>
    <row r="199" spans="1:17">
      <c r="A199">
        <v>1198</v>
      </c>
      <c r="B199" t="s">
        <v>84</v>
      </c>
      <c r="C199" t="s">
        <v>52</v>
      </c>
      <c r="D199" t="s">
        <v>37</v>
      </c>
      <c r="E199" s="1">
        <v>45388</v>
      </c>
      <c r="F199">
        <v>136</v>
      </c>
      <c r="G199" t="s">
        <v>20</v>
      </c>
      <c r="H199">
        <v>2.9</v>
      </c>
      <c r="I199">
        <v>418</v>
      </c>
      <c r="J199" t="s">
        <v>32</v>
      </c>
      <c r="K199" t="str">
        <f t="shared" si="21"/>
        <v>Bad</v>
      </c>
      <c r="L199">
        <f t="shared" si="22"/>
        <v>418</v>
      </c>
      <c r="M199" t="str">
        <f t="shared" si="23"/>
        <v>Long</v>
      </c>
      <c r="N199" s="4" t="str">
        <f t="shared" si="24"/>
        <v>Bir</v>
      </c>
      <c r="O199" s="4" t="str">
        <f t="shared" si="25"/>
        <v>KAZIRANGA</v>
      </c>
      <c r="P199" s="4" t="str">
        <f t="shared" si="26"/>
        <v>No Comments</v>
      </c>
      <c r="Q199" s="4">
        <f t="shared" si="27"/>
        <v>12</v>
      </c>
    </row>
    <row r="200" spans="1:17">
      <c r="A200">
        <v>1199</v>
      </c>
      <c r="B200" t="s">
        <v>87</v>
      </c>
      <c r="C200" t="s">
        <v>41</v>
      </c>
      <c r="D200" t="s">
        <v>48</v>
      </c>
      <c r="E200" s="1">
        <v>45378</v>
      </c>
      <c r="F200">
        <v>173</v>
      </c>
      <c r="G200" t="s">
        <v>46</v>
      </c>
      <c r="H200">
        <v>2.6</v>
      </c>
      <c r="I200">
        <v>236</v>
      </c>
      <c r="J200" t="s">
        <v>66</v>
      </c>
      <c r="K200" t="str">
        <f t="shared" si="21"/>
        <v>Bad</v>
      </c>
      <c r="L200">
        <f t="shared" si="22"/>
        <v>236</v>
      </c>
      <c r="M200" t="str">
        <f t="shared" si="23"/>
        <v>Long</v>
      </c>
      <c r="N200" s="4" t="str">
        <f t="shared" si="24"/>
        <v>Cam</v>
      </c>
      <c r="O200" s="4" t="str">
        <f t="shared" si="25"/>
        <v>JIM CORBETT</v>
      </c>
      <c r="P200" s="4" t="str">
        <f t="shared" si="26"/>
        <v>Amazing Experience</v>
      </c>
      <c r="Q200" s="4">
        <f t="shared" si="27"/>
        <v>10</v>
      </c>
    </row>
    <row r="201" spans="1:17">
      <c r="A201">
        <v>1200</v>
      </c>
      <c r="B201" t="s">
        <v>17</v>
      </c>
      <c r="C201" t="s">
        <v>28</v>
      </c>
      <c r="D201" t="s">
        <v>53</v>
      </c>
      <c r="E201" s="1">
        <v>45582</v>
      </c>
      <c r="F201">
        <v>133</v>
      </c>
      <c r="G201" t="s">
        <v>38</v>
      </c>
      <c r="H201">
        <v>2.9</v>
      </c>
      <c r="I201">
        <v>139</v>
      </c>
      <c r="J201" t="s">
        <v>30</v>
      </c>
      <c r="K201" t="str">
        <f t="shared" si="21"/>
        <v>Bad</v>
      </c>
      <c r="L201">
        <f t="shared" si="22"/>
        <v>139</v>
      </c>
      <c r="M201" t="str">
        <f t="shared" si="23"/>
        <v>Long</v>
      </c>
      <c r="N201" s="4" t="str">
        <f t="shared" si="24"/>
        <v>Boa</v>
      </c>
      <c r="O201" s="4" t="str">
        <f t="shared" si="25"/>
        <v>PERIYAR</v>
      </c>
      <c r="P201" s="4" t="str">
        <f t="shared" si="26"/>
        <v>Good Guide Support</v>
      </c>
      <c r="Q201" s="4">
        <f t="shared" si="27"/>
        <v>11</v>
      </c>
    </row>
    <row r="202" spans="1:17">
      <c r="A202">
        <v>1201</v>
      </c>
      <c r="B202" t="s">
        <v>133</v>
      </c>
      <c r="C202" t="s">
        <v>34</v>
      </c>
      <c r="D202" t="s">
        <v>29</v>
      </c>
      <c r="E202" s="1">
        <v>45592</v>
      </c>
      <c r="F202">
        <v>48</v>
      </c>
      <c r="G202" t="s">
        <v>25</v>
      </c>
      <c r="H202">
        <v>4.9000000000000004</v>
      </c>
      <c r="I202">
        <v>255</v>
      </c>
      <c r="J202" t="s">
        <v>26</v>
      </c>
      <c r="K202" t="str">
        <f t="shared" si="21"/>
        <v>Good</v>
      </c>
      <c r="L202">
        <f t="shared" si="22"/>
        <v>255</v>
      </c>
      <c r="M202" t="str">
        <f t="shared" si="23"/>
        <v>Medium</v>
      </c>
      <c r="N202" s="4" t="str">
        <f t="shared" si="24"/>
        <v>Hik</v>
      </c>
      <c r="O202" s="4" t="str">
        <f t="shared" si="25"/>
        <v>GIR</v>
      </c>
      <c r="P202" s="4" t="str">
        <f t="shared" si="26"/>
        <v>Excellent Wildlife View</v>
      </c>
      <c r="Q202" s="4">
        <f t="shared" si="27"/>
        <v>12</v>
      </c>
    </row>
    <row r="203" spans="1:17">
      <c r="A203">
        <v>1202</v>
      </c>
      <c r="B203" t="s">
        <v>17</v>
      </c>
      <c r="C203" t="s">
        <v>52</v>
      </c>
      <c r="D203" t="s">
        <v>37</v>
      </c>
      <c r="E203" s="1">
        <v>45478</v>
      </c>
      <c r="F203">
        <v>119</v>
      </c>
      <c r="G203" t="s">
        <v>20</v>
      </c>
      <c r="H203">
        <v>2.6</v>
      </c>
      <c r="I203">
        <v>199</v>
      </c>
      <c r="J203" t="s">
        <v>54</v>
      </c>
      <c r="K203" t="str">
        <f t="shared" si="21"/>
        <v>Bad</v>
      </c>
      <c r="L203">
        <f t="shared" si="22"/>
        <v>199</v>
      </c>
      <c r="M203" t="str">
        <f t="shared" si="23"/>
        <v>Long</v>
      </c>
      <c r="N203" s="4" t="str">
        <f t="shared" si="24"/>
        <v>Bir</v>
      </c>
      <c r="O203" s="4" t="str">
        <f t="shared" si="25"/>
        <v>KAZIRANGA</v>
      </c>
      <c r="P203" s="4" t="str">
        <f t="shared" si="26"/>
        <v>Could Be Cleaner</v>
      </c>
      <c r="Q203" s="4">
        <f t="shared" si="27"/>
        <v>11</v>
      </c>
    </row>
    <row r="204" spans="1:17">
      <c r="A204">
        <v>1203</v>
      </c>
      <c r="B204" t="s">
        <v>76</v>
      </c>
      <c r="C204" t="s">
        <v>41</v>
      </c>
      <c r="D204" t="s">
        <v>53</v>
      </c>
      <c r="E204" s="1">
        <v>45403</v>
      </c>
      <c r="F204">
        <v>136</v>
      </c>
      <c r="G204" t="s">
        <v>46</v>
      </c>
      <c r="H204">
        <v>5</v>
      </c>
      <c r="I204">
        <v>229</v>
      </c>
      <c r="J204" t="s">
        <v>26</v>
      </c>
      <c r="K204" t="str">
        <f t="shared" si="21"/>
        <v>Good</v>
      </c>
      <c r="L204">
        <f t="shared" si="22"/>
        <v>229</v>
      </c>
      <c r="M204" t="str">
        <f t="shared" si="23"/>
        <v>Long</v>
      </c>
      <c r="N204" s="4" t="str">
        <f t="shared" si="24"/>
        <v>Boa</v>
      </c>
      <c r="O204" s="4" t="str">
        <f t="shared" si="25"/>
        <v>JIM CORBETT</v>
      </c>
      <c r="P204" s="4" t="str">
        <f t="shared" si="26"/>
        <v>Excellent Wildlife View</v>
      </c>
      <c r="Q204" s="4">
        <f t="shared" si="27"/>
        <v>11</v>
      </c>
    </row>
    <row r="205" spans="1:17">
      <c r="A205">
        <v>1204</v>
      </c>
      <c r="B205" t="s">
        <v>40</v>
      </c>
      <c r="C205" t="s">
        <v>34</v>
      </c>
      <c r="D205" t="s">
        <v>19</v>
      </c>
      <c r="E205" s="1">
        <v>45405</v>
      </c>
      <c r="F205">
        <v>36</v>
      </c>
      <c r="G205" t="s">
        <v>25</v>
      </c>
      <c r="H205">
        <v>4.5999999999999996</v>
      </c>
      <c r="I205">
        <v>136</v>
      </c>
      <c r="J205" t="s">
        <v>68</v>
      </c>
      <c r="K205" t="str">
        <f t="shared" si="21"/>
        <v>Good</v>
      </c>
      <c r="L205">
        <f t="shared" si="22"/>
        <v>136</v>
      </c>
      <c r="M205" t="str">
        <f t="shared" si="23"/>
        <v>Medium</v>
      </c>
      <c r="N205" s="4" t="str">
        <f t="shared" si="24"/>
        <v>Pho</v>
      </c>
      <c r="O205" s="4" t="str">
        <f t="shared" si="25"/>
        <v>GIR</v>
      </c>
      <c r="P205" s="4" t="str">
        <f t="shared" si="26"/>
        <v>Average Service</v>
      </c>
      <c r="Q205" s="4">
        <f t="shared" si="27"/>
        <v>11</v>
      </c>
    </row>
    <row r="206" spans="1:17">
      <c r="A206">
        <v>1205</v>
      </c>
      <c r="B206" t="s">
        <v>124</v>
      </c>
      <c r="C206" t="s">
        <v>43</v>
      </c>
      <c r="D206" t="s">
        <v>24</v>
      </c>
      <c r="E206" s="1">
        <v>45328</v>
      </c>
      <c r="F206">
        <v>214</v>
      </c>
      <c r="G206" t="s">
        <v>20</v>
      </c>
      <c r="H206">
        <v>3.5</v>
      </c>
      <c r="I206">
        <v>179</v>
      </c>
      <c r="J206" t="s">
        <v>35</v>
      </c>
      <c r="K206" t="str">
        <f t="shared" si="21"/>
        <v>Neutral</v>
      </c>
      <c r="L206">
        <f t="shared" si="22"/>
        <v>179</v>
      </c>
      <c r="M206" t="str">
        <f t="shared" si="23"/>
        <v>Very Long</v>
      </c>
      <c r="N206" s="4" t="str">
        <f t="shared" si="24"/>
        <v>Saf</v>
      </c>
      <c r="O206" s="4" t="str">
        <f t="shared" si="25"/>
        <v>RANTHAMBORE</v>
      </c>
      <c r="P206" s="4" t="str">
        <f t="shared" si="26"/>
        <v>Very Enjoyable</v>
      </c>
      <c r="Q206" s="4">
        <f t="shared" si="27"/>
        <v>11</v>
      </c>
    </row>
    <row r="207" spans="1:17">
      <c r="A207">
        <v>1206</v>
      </c>
      <c r="B207" t="s">
        <v>101</v>
      </c>
      <c r="C207" t="s">
        <v>18</v>
      </c>
      <c r="D207" t="s">
        <v>24</v>
      </c>
      <c r="E207" s="1">
        <v>45542</v>
      </c>
      <c r="F207">
        <v>201</v>
      </c>
      <c r="G207" t="s">
        <v>46</v>
      </c>
      <c r="H207">
        <v>3.7</v>
      </c>
      <c r="I207">
        <v>278</v>
      </c>
      <c r="J207" t="s">
        <v>35</v>
      </c>
      <c r="K207" t="str">
        <f t="shared" si="21"/>
        <v>Neutral</v>
      </c>
      <c r="L207">
        <f t="shared" si="22"/>
        <v>278</v>
      </c>
      <c r="M207" t="str">
        <f t="shared" si="23"/>
        <v>Very Long</v>
      </c>
      <c r="N207" s="4" t="str">
        <f t="shared" si="24"/>
        <v>Saf</v>
      </c>
      <c r="O207" s="4" t="str">
        <f t="shared" si="25"/>
        <v>SUNDARBANS</v>
      </c>
      <c r="P207" s="4" t="str">
        <f t="shared" si="26"/>
        <v>Very Enjoyable</v>
      </c>
      <c r="Q207" s="4">
        <f t="shared" si="27"/>
        <v>11</v>
      </c>
    </row>
    <row r="208" spans="1:17">
      <c r="A208">
        <v>1207</v>
      </c>
      <c r="B208" t="s">
        <v>109</v>
      </c>
      <c r="C208" t="s">
        <v>43</v>
      </c>
      <c r="D208" t="s">
        <v>48</v>
      </c>
      <c r="E208" s="1">
        <v>45304</v>
      </c>
      <c r="F208">
        <v>237</v>
      </c>
      <c r="G208" t="s">
        <v>46</v>
      </c>
      <c r="H208">
        <v>3.6</v>
      </c>
      <c r="I208">
        <v>136</v>
      </c>
      <c r="J208" t="s">
        <v>35</v>
      </c>
      <c r="K208" t="str">
        <f t="shared" si="21"/>
        <v>Neutral</v>
      </c>
      <c r="L208">
        <f t="shared" si="22"/>
        <v>136</v>
      </c>
      <c r="M208" t="str">
        <f t="shared" si="23"/>
        <v>Very Long</v>
      </c>
      <c r="N208" s="4" t="str">
        <f t="shared" si="24"/>
        <v>Cam</v>
      </c>
      <c r="O208" s="4" t="str">
        <f t="shared" si="25"/>
        <v>RANTHAMBORE</v>
      </c>
      <c r="P208" s="4" t="str">
        <f t="shared" si="26"/>
        <v>Very Enjoyable</v>
      </c>
      <c r="Q208" s="4">
        <f t="shared" si="27"/>
        <v>11</v>
      </c>
    </row>
    <row r="209" spans="1:17">
      <c r="A209">
        <v>1208</v>
      </c>
      <c r="B209" t="s">
        <v>90</v>
      </c>
      <c r="C209" t="s">
        <v>28</v>
      </c>
      <c r="D209" t="s">
        <v>19</v>
      </c>
      <c r="E209" s="1">
        <v>45574</v>
      </c>
      <c r="F209">
        <v>197</v>
      </c>
      <c r="G209" t="s">
        <v>38</v>
      </c>
      <c r="H209">
        <v>2.9</v>
      </c>
      <c r="I209">
        <v>278</v>
      </c>
      <c r="J209" t="s">
        <v>32</v>
      </c>
      <c r="K209" t="str">
        <f t="shared" si="21"/>
        <v>Bad</v>
      </c>
      <c r="L209">
        <f t="shared" si="22"/>
        <v>278</v>
      </c>
      <c r="M209" t="str">
        <f t="shared" si="23"/>
        <v>Very Long</v>
      </c>
      <c r="N209" s="4" t="str">
        <f t="shared" si="24"/>
        <v>Pho</v>
      </c>
      <c r="O209" s="4" t="str">
        <f t="shared" si="25"/>
        <v>PERIYAR</v>
      </c>
      <c r="P209" s="4" t="str">
        <f t="shared" si="26"/>
        <v>No Comments</v>
      </c>
      <c r="Q209" s="4">
        <f t="shared" si="27"/>
        <v>12</v>
      </c>
    </row>
    <row r="210" spans="1:17">
      <c r="A210">
        <v>1209</v>
      </c>
      <c r="B210" t="s">
        <v>60</v>
      </c>
      <c r="C210" t="s">
        <v>43</v>
      </c>
      <c r="D210" t="s">
        <v>53</v>
      </c>
      <c r="E210" s="1">
        <v>45385</v>
      </c>
      <c r="F210">
        <v>185</v>
      </c>
      <c r="G210" t="s">
        <v>25</v>
      </c>
      <c r="H210">
        <v>4.2</v>
      </c>
      <c r="I210">
        <v>174</v>
      </c>
      <c r="J210" t="s">
        <v>73</v>
      </c>
      <c r="K210" t="str">
        <f t="shared" si="21"/>
        <v>Good</v>
      </c>
      <c r="L210">
        <f t="shared" si="22"/>
        <v>174</v>
      </c>
      <c r="M210" t="str">
        <f t="shared" si="23"/>
        <v>Very Long</v>
      </c>
      <c r="N210" s="4" t="str">
        <f t="shared" si="24"/>
        <v>Boa</v>
      </c>
      <c r="O210" s="4" t="str">
        <f t="shared" si="25"/>
        <v>RANTHAMBORE</v>
      </c>
      <c r="P210" s="4" t="str">
        <f t="shared" si="26"/>
        <v>Peaceful Environment</v>
      </c>
      <c r="Q210" s="4">
        <f t="shared" si="27"/>
        <v>11</v>
      </c>
    </row>
    <row r="211" spans="1:17">
      <c r="A211">
        <v>1210</v>
      </c>
      <c r="B211" t="s">
        <v>128</v>
      </c>
      <c r="C211" t="s">
        <v>34</v>
      </c>
      <c r="D211" t="s">
        <v>48</v>
      </c>
      <c r="E211" s="1">
        <v>45584</v>
      </c>
      <c r="F211">
        <v>38</v>
      </c>
      <c r="G211" t="s">
        <v>25</v>
      </c>
      <c r="H211">
        <v>3.6</v>
      </c>
      <c r="I211">
        <v>145</v>
      </c>
      <c r="J211" t="s">
        <v>68</v>
      </c>
      <c r="K211" t="str">
        <f t="shared" si="21"/>
        <v>Neutral</v>
      </c>
      <c r="L211">
        <f t="shared" si="22"/>
        <v>145</v>
      </c>
      <c r="M211" t="str">
        <f t="shared" si="23"/>
        <v>Medium</v>
      </c>
      <c r="N211" s="4" t="str">
        <f t="shared" si="24"/>
        <v>Cam</v>
      </c>
      <c r="O211" s="4" t="str">
        <f t="shared" si="25"/>
        <v>GIR</v>
      </c>
      <c r="P211" s="4" t="str">
        <f t="shared" si="26"/>
        <v>Average Service</v>
      </c>
      <c r="Q211" s="4">
        <f t="shared" si="27"/>
        <v>11</v>
      </c>
    </row>
    <row r="212" spans="1:17">
      <c r="A212">
        <v>1211</v>
      </c>
      <c r="B212" t="s">
        <v>69</v>
      </c>
      <c r="C212" t="s">
        <v>41</v>
      </c>
      <c r="D212" t="s">
        <v>24</v>
      </c>
      <c r="E212" s="1">
        <v>45292</v>
      </c>
      <c r="F212">
        <v>69</v>
      </c>
      <c r="G212" t="s">
        <v>38</v>
      </c>
      <c r="H212">
        <v>3.4</v>
      </c>
      <c r="I212">
        <v>111</v>
      </c>
      <c r="J212" t="s">
        <v>30</v>
      </c>
      <c r="K212" t="str">
        <f t="shared" si="21"/>
        <v>Neutral</v>
      </c>
      <c r="L212">
        <f t="shared" si="22"/>
        <v>111</v>
      </c>
      <c r="M212" t="str">
        <f t="shared" si="23"/>
        <v>Medium</v>
      </c>
      <c r="N212" s="4" t="str">
        <f t="shared" si="24"/>
        <v>Saf</v>
      </c>
      <c r="O212" s="4" t="str">
        <f t="shared" si="25"/>
        <v>JIM CORBETT</v>
      </c>
      <c r="P212" s="4" t="str">
        <f t="shared" si="26"/>
        <v>Good Guide Support</v>
      </c>
      <c r="Q212" s="4">
        <f t="shared" si="27"/>
        <v>12</v>
      </c>
    </row>
    <row r="213" spans="1:17">
      <c r="A213">
        <v>1212</v>
      </c>
      <c r="B213" t="s">
        <v>63</v>
      </c>
      <c r="C213" t="s">
        <v>52</v>
      </c>
      <c r="D213" t="s">
        <v>24</v>
      </c>
      <c r="E213" s="1">
        <v>45425</v>
      </c>
      <c r="F213">
        <v>45</v>
      </c>
      <c r="G213" t="s">
        <v>46</v>
      </c>
      <c r="H213">
        <v>3.6</v>
      </c>
      <c r="I213">
        <v>370</v>
      </c>
      <c r="J213" t="s">
        <v>21</v>
      </c>
      <c r="K213" t="str">
        <f t="shared" si="21"/>
        <v>Neutral</v>
      </c>
      <c r="L213">
        <f t="shared" si="22"/>
        <v>370</v>
      </c>
      <c r="M213" t="str">
        <f t="shared" si="23"/>
        <v>Medium</v>
      </c>
      <c r="N213" s="4" t="str">
        <f t="shared" si="24"/>
        <v>Saf</v>
      </c>
      <c r="O213" s="4" t="str">
        <f t="shared" si="25"/>
        <v>KAZIRANGA</v>
      </c>
      <c r="P213" s="4" t="str">
        <f t="shared" si="26"/>
        <v>Too Crowded</v>
      </c>
      <c r="Q213" s="4">
        <f t="shared" si="27"/>
        <v>10</v>
      </c>
    </row>
    <row r="214" spans="1:17">
      <c r="A214">
        <v>1213</v>
      </c>
      <c r="B214" t="s">
        <v>47</v>
      </c>
      <c r="C214" t="s">
        <v>28</v>
      </c>
      <c r="D214" t="s">
        <v>24</v>
      </c>
      <c r="E214" s="1">
        <v>45471</v>
      </c>
      <c r="F214">
        <v>157</v>
      </c>
      <c r="G214" t="s">
        <v>46</v>
      </c>
      <c r="H214">
        <v>2.9</v>
      </c>
      <c r="I214">
        <v>276</v>
      </c>
      <c r="J214" t="s">
        <v>26</v>
      </c>
      <c r="K214" t="str">
        <f t="shared" si="21"/>
        <v>Bad</v>
      </c>
      <c r="L214">
        <f t="shared" si="22"/>
        <v>276</v>
      </c>
      <c r="M214" t="str">
        <f t="shared" si="23"/>
        <v>Long</v>
      </c>
      <c r="N214" s="4" t="str">
        <f t="shared" si="24"/>
        <v>Saf</v>
      </c>
      <c r="O214" s="4" t="str">
        <f t="shared" si="25"/>
        <v>PERIYAR</v>
      </c>
      <c r="P214" s="4" t="str">
        <f t="shared" si="26"/>
        <v>Excellent Wildlife View</v>
      </c>
      <c r="Q214" s="4">
        <f t="shared" si="27"/>
        <v>10</v>
      </c>
    </row>
    <row r="215" spans="1:17">
      <c r="A215">
        <v>1214</v>
      </c>
      <c r="B215" t="s">
        <v>121</v>
      </c>
      <c r="C215" t="s">
        <v>41</v>
      </c>
      <c r="D215" t="s">
        <v>53</v>
      </c>
      <c r="E215" s="1">
        <v>45366</v>
      </c>
      <c r="F215">
        <v>138</v>
      </c>
      <c r="G215" t="s">
        <v>38</v>
      </c>
      <c r="H215">
        <v>3.3</v>
      </c>
      <c r="I215">
        <v>358</v>
      </c>
      <c r="J215" t="s">
        <v>68</v>
      </c>
      <c r="K215" t="str">
        <f t="shared" si="21"/>
        <v>Neutral</v>
      </c>
      <c r="L215">
        <f t="shared" si="22"/>
        <v>358</v>
      </c>
      <c r="M215" t="str">
        <f t="shared" si="23"/>
        <v>Long</v>
      </c>
      <c r="N215" s="4" t="str">
        <f t="shared" si="24"/>
        <v>Boa</v>
      </c>
      <c r="O215" s="4" t="str">
        <f t="shared" si="25"/>
        <v>JIM CORBETT</v>
      </c>
      <c r="P215" s="4" t="str">
        <f t="shared" si="26"/>
        <v>Average Service</v>
      </c>
      <c r="Q215" s="4">
        <f t="shared" si="27"/>
        <v>10</v>
      </c>
    </row>
    <row r="216" spans="1:17">
      <c r="A216">
        <v>1215</v>
      </c>
      <c r="B216" t="s">
        <v>129</v>
      </c>
      <c r="C216" t="s">
        <v>34</v>
      </c>
      <c r="D216" t="s">
        <v>48</v>
      </c>
      <c r="E216" s="1">
        <v>45432</v>
      </c>
      <c r="F216">
        <v>170</v>
      </c>
      <c r="G216" t="s">
        <v>46</v>
      </c>
      <c r="H216">
        <v>3.8</v>
      </c>
      <c r="I216">
        <v>114</v>
      </c>
      <c r="J216" t="s">
        <v>32</v>
      </c>
      <c r="K216" t="str">
        <f t="shared" si="21"/>
        <v>Neutral</v>
      </c>
      <c r="L216">
        <f t="shared" si="22"/>
        <v>114</v>
      </c>
      <c r="M216" t="str">
        <f t="shared" si="23"/>
        <v>Long</v>
      </c>
      <c r="N216" s="4" t="str">
        <f t="shared" si="24"/>
        <v>Cam</v>
      </c>
      <c r="O216" s="4" t="str">
        <f t="shared" si="25"/>
        <v>GIR</v>
      </c>
      <c r="P216" s="4" t="str">
        <f t="shared" si="26"/>
        <v>No Comments</v>
      </c>
      <c r="Q216" s="4">
        <f t="shared" si="27"/>
        <v>12</v>
      </c>
    </row>
    <row r="217" spans="1:17">
      <c r="A217">
        <v>1216</v>
      </c>
      <c r="B217" t="s">
        <v>129</v>
      </c>
      <c r="C217" t="s">
        <v>23</v>
      </c>
      <c r="D217" t="s">
        <v>48</v>
      </c>
      <c r="E217" s="1">
        <v>45657</v>
      </c>
      <c r="F217">
        <v>30</v>
      </c>
      <c r="G217" t="s">
        <v>46</v>
      </c>
      <c r="H217">
        <v>3.7</v>
      </c>
      <c r="I217">
        <v>437</v>
      </c>
      <c r="J217" t="s">
        <v>26</v>
      </c>
      <c r="K217" t="str">
        <f t="shared" si="21"/>
        <v>Neutral</v>
      </c>
      <c r="L217">
        <f t="shared" si="22"/>
        <v>437</v>
      </c>
      <c r="M217" t="str">
        <f t="shared" si="23"/>
        <v>Medium</v>
      </c>
      <c r="N217" s="4" t="str">
        <f t="shared" si="24"/>
        <v>Cam</v>
      </c>
      <c r="O217" s="4" t="str">
        <f t="shared" si="25"/>
        <v>BANDHAVGARH</v>
      </c>
      <c r="P217" s="4" t="str">
        <f t="shared" si="26"/>
        <v>Excellent Wildlife View</v>
      </c>
      <c r="Q217" s="4">
        <f t="shared" si="27"/>
        <v>12</v>
      </c>
    </row>
    <row r="218" spans="1:17">
      <c r="A218">
        <v>1217</v>
      </c>
      <c r="B218" t="s">
        <v>17</v>
      </c>
      <c r="C218" t="s">
        <v>43</v>
      </c>
      <c r="D218" t="s">
        <v>29</v>
      </c>
      <c r="E218" s="1">
        <v>45368</v>
      </c>
      <c r="F218">
        <v>195</v>
      </c>
      <c r="G218" t="s">
        <v>20</v>
      </c>
      <c r="H218">
        <v>2.9</v>
      </c>
      <c r="I218">
        <v>182</v>
      </c>
      <c r="J218" t="s">
        <v>26</v>
      </c>
      <c r="K218" t="str">
        <f t="shared" si="21"/>
        <v>Bad</v>
      </c>
      <c r="L218">
        <f t="shared" si="22"/>
        <v>182</v>
      </c>
      <c r="M218" t="str">
        <f t="shared" si="23"/>
        <v>Very Long</v>
      </c>
      <c r="N218" s="4" t="str">
        <f t="shared" si="24"/>
        <v>Hik</v>
      </c>
      <c r="O218" s="4" t="str">
        <f t="shared" si="25"/>
        <v>RANTHAMBORE</v>
      </c>
      <c r="P218" s="4" t="str">
        <f t="shared" si="26"/>
        <v>Excellent Wildlife View</v>
      </c>
      <c r="Q218" s="4">
        <f t="shared" si="27"/>
        <v>11</v>
      </c>
    </row>
    <row r="219" spans="1:17">
      <c r="A219">
        <v>1218</v>
      </c>
      <c r="B219" t="s">
        <v>90</v>
      </c>
      <c r="C219" t="s">
        <v>52</v>
      </c>
      <c r="D219" t="s">
        <v>19</v>
      </c>
      <c r="E219" s="1">
        <v>45566</v>
      </c>
      <c r="F219">
        <v>213</v>
      </c>
      <c r="G219" t="s">
        <v>25</v>
      </c>
      <c r="H219">
        <v>4.4000000000000004</v>
      </c>
      <c r="I219">
        <v>204</v>
      </c>
      <c r="J219" t="s">
        <v>73</v>
      </c>
      <c r="K219" t="str">
        <f t="shared" si="21"/>
        <v>Good</v>
      </c>
      <c r="L219">
        <f t="shared" si="22"/>
        <v>204</v>
      </c>
      <c r="M219" t="str">
        <f t="shared" si="23"/>
        <v>Very Long</v>
      </c>
      <c r="N219" s="4" t="str">
        <f t="shared" si="24"/>
        <v>Pho</v>
      </c>
      <c r="O219" s="4" t="str">
        <f t="shared" si="25"/>
        <v>KAZIRANGA</v>
      </c>
      <c r="P219" s="4" t="str">
        <f t="shared" si="26"/>
        <v>Peaceful Environment</v>
      </c>
      <c r="Q219" s="4">
        <f t="shared" si="27"/>
        <v>12</v>
      </c>
    </row>
    <row r="220" spans="1:17">
      <c r="A220">
        <v>1219</v>
      </c>
      <c r="B220" t="s">
        <v>79</v>
      </c>
      <c r="C220" t="s">
        <v>23</v>
      </c>
      <c r="D220" t="s">
        <v>19</v>
      </c>
      <c r="E220" s="1">
        <v>45607</v>
      </c>
      <c r="F220">
        <v>140</v>
      </c>
      <c r="G220" t="s">
        <v>25</v>
      </c>
      <c r="H220">
        <v>4.9000000000000004</v>
      </c>
      <c r="I220">
        <v>306</v>
      </c>
      <c r="J220" t="s">
        <v>68</v>
      </c>
      <c r="K220" t="str">
        <f t="shared" si="21"/>
        <v>Good</v>
      </c>
      <c r="L220">
        <f t="shared" si="22"/>
        <v>306</v>
      </c>
      <c r="M220" t="str">
        <f t="shared" si="23"/>
        <v>Long</v>
      </c>
      <c r="N220" s="4" t="str">
        <f t="shared" si="24"/>
        <v>Pho</v>
      </c>
      <c r="O220" s="4" t="str">
        <f t="shared" si="25"/>
        <v>BANDHAVGARH</v>
      </c>
      <c r="P220" s="4" t="str">
        <f t="shared" si="26"/>
        <v>Average Service</v>
      </c>
      <c r="Q220" s="4">
        <f t="shared" si="27"/>
        <v>11</v>
      </c>
    </row>
    <row r="221" spans="1:17">
      <c r="A221">
        <v>1220</v>
      </c>
      <c r="B221" t="s">
        <v>134</v>
      </c>
      <c r="C221" t="s">
        <v>41</v>
      </c>
      <c r="D221" t="s">
        <v>48</v>
      </c>
      <c r="E221" s="1">
        <v>45407</v>
      </c>
      <c r="F221">
        <v>60</v>
      </c>
      <c r="G221" t="s">
        <v>25</v>
      </c>
      <c r="H221">
        <v>4.0999999999999996</v>
      </c>
      <c r="I221">
        <v>482</v>
      </c>
      <c r="J221" t="s">
        <v>50</v>
      </c>
      <c r="K221" t="str">
        <f t="shared" si="21"/>
        <v>Good</v>
      </c>
      <c r="L221">
        <f t="shared" si="22"/>
        <v>482</v>
      </c>
      <c r="M221" t="str">
        <f t="shared" si="23"/>
        <v>Medium</v>
      </c>
      <c r="N221" s="4" t="str">
        <f t="shared" si="24"/>
        <v>Cam</v>
      </c>
      <c r="O221" s="4" t="str">
        <f t="shared" si="25"/>
        <v>JIM CORBETT</v>
      </c>
      <c r="P221" s="4" t="str">
        <f t="shared" si="26"/>
        <v>Saw Rare Species</v>
      </c>
      <c r="Q221" s="4">
        <f t="shared" si="27"/>
        <v>11</v>
      </c>
    </row>
    <row r="222" spans="1:17">
      <c r="A222">
        <v>1221</v>
      </c>
      <c r="B222" t="s">
        <v>57</v>
      </c>
      <c r="C222" t="s">
        <v>28</v>
      </c>
      <c r="D222" t="s">
        <v>53</v>
      </c>
      <c r="E222" s="1">
        <v>45553</v>
      </c>
      <c r="F222">
        <v>240</v>
      </c>
      <c r="G222" t="s">
        <v>46</v>
      </c>
      <c r="H222">
        <v>3.7</v>
      </c>
      <c r="I222">
        <v>142</v>
      </c>
      <c r="J222" t="s">
        <v>35</v>
      </c>
      <c r="K222" t="str">
        <f t="shared" si="21"/>
        <v>Neutral</v>
      </c>
      <c r="L222">
        <f t="shared" si="22"/>
        <v>142</v>
      </c>
      <c r="M222" t="str">
        <f t="shared" si="23"/>
        <v>Very Long</v>
      </c>
      <c r="N222" s="4" t="str">
        <f t="shared" si="24"/>
        <v>Boa</v>
      </c>
      <c r="O222" s="4" t="str">
        <f t="shared" si="25"/>
        <v>PERIYAR</v>
      </c>
      <c r="P222" s="4" t="str">
        <f t="shared" si="26"/>
        <v>Very Enjoyable</v>
      </c>
      <c r="Q222" s="4">
        <f t="shared" si="27"/>
        <v>11</v>
      </c>
    </row>
    <row r="223" spans="1:17">
      <c r="A223">
        <v>1222</v>
      </c>
      <c r="B223" t="s">
        <v>108</v>
      </c>
      <c r="C223" t="s">
        <v>18</v>
      </c>
      <c r="D223" t="s">
        <v>24</v>
      </c>
      <c r="E223" s="1">
        <v>45577</v>
      </c>
      <c r="F223">
        <v>93</v>
      </c>
      <c r="G223" t="s">
        <v>46</v>
      </c>
      <c r="H223">
        <v>4.7</v>
      </c>
      <c r="I223">
        <v>321</v>
      </c>
      <c r="J223" t="s">
        <v>30</v>
      </c>
      <c r="K223" t="str">
        <f t="shared" si="21"/>
        <v>Good</v>
      </c>
      <c r="L223">
        <f t="shared" si="22"/>
        <v>321</v>
      </c>
      <c r="M223" t="str">
        <f t="shared" si="23"/>
        <v>Long</v>
      </c>
      <c r="N223" s="4" t="str">
        <f t="shared" si="24"/>
        <v>Saf</v>
      </c>
      <c r="O223" s="4" t="str">
        <f t="shared" si="25"/>
        <v>SUNDARBANS</v>
      </c>
      <c r="P223" s="4" t="str">
        <f t="shared" si="26"/>
        <v>Good Guide Support</v>
      </c>
      <c r="Q223" s="4">
        <f t="shared" si="27"/>
        <v>10</v>
      </c>
    </row>
    <row r="224" spans="1:17">
      <c r="A224">
        <v>1223</v>
      </c>
      <c r="B224" t="s">
        <v>27</v>
      </c>
      <c r="C224" t="s">
        <v>28</v>
      </c>
      <c r="D224" t="s">
        <v>24</v>
      </c>
      <c r="E224" s="1">
        <v>45580</v>
      </c>
      <c r="F224">
        <v>219</v>
      </c>
      <c r="G224" t="s">
        <v>38</v>
      </c>
      <c r="H224">
        <v>3.2</v>
      </c>
      <c r="I224">
        <v>456</v>
      </c>
      <c r="J224" t="s">
        <v>26</v>
      </c>
      <c r="K224" t="str">
        <f t="shared" si="21"/>
        <v>Neutral</v>
      </c>
      <c r="L224">
        <f t="shared" si="22"/>
        <v>456</v>
      </c>
      <c r="M224" t="str">
        <f t="shared" si="23"/>
        <v>Very Long</v>
      </c>
      <c r="N224" s="4" t="str">
        <f t="shared" si="24"/>
        <v>Saf</v>
      </c>
      <c r="O224" s="4" t="str">
        <f t="shared" si="25"/>
        <v>PERIYAR</v>
      </c>
      <c r="P224" s="4" t="str">
        <f t="shared" si="26"/>
        <v>Excellent Wildlife View</v>
      </c>
      <c r="Q224" s="4">
        <f t="shared" si="27"/>
        <v>10</v>
      </c>
    </row>
    <row r="225" spans="1:17">
      <c r="A225">
        <v>1224</v>
      </c>
      <c r="B225" t="s">
        <v>92</v>
      </c>
      <c r="C225" t="s">
        <v>52</v>
      </c>
      <c r="D225" t="s">
        <v>37</v>
      </c>
      <c r="E225" s="1">
        <v>45561</v>
      </c>
      <c r="F225">
        <v>219</v>
      </c>
      <c r="G225" t="s">
        <v>20</v>
      </c>
      <c r="H225">
        <v>2.5</v>
      </c>
      <c r="I225">
        <v>254</v>
      </c>
      <c r="J225" t="s">
        <v>50</v>
      </c>
      <c r="K225" t="str">
        <f t="shared" si="21"/>
        <v>Bad</v>
      </c>
      <c r="L225">
        <f t="shared" si="22"/>
        <v>254</v>
      </c>
      <c r="M225" t="str">
        <f t="shared" si="23"/>
        <v>Very Long</v>
      </c>
      <c r="N225" s="4" t="str">
        <f t="shared" si="24"/>
        <v>Bir</v>
      </c>
      <c r="O225" s="4" t="str">
        <f t="shared" si="25"/>
        <v>KAZIRANGA</v>
      </c>
      <c r="P225" s="4" t="str">
        <f t="shared" si="26"/>
        <v>Saw Rare Species</v>
      </c>
      <c r="Q225" s="4">
        <f t="shared" si="27"/>
        <v>11</v>
      </c>
    </row>
    <row r="226" spans="1:17">
      <c r="A226">
        <v>1225</v>
      </c>
      <c r="B226" t="s">
        <v>47</v>
      </c>
      <c r="C226" t="s">
        <v>45</v>
      </c>
      <c r="D226" t="s">
        <v>24</v>
      </c>
      <c r="E226" s="1">
        <v>45610</v>
      </c>
      <c r="F226">
        <v>59</v>
      </c>
      <c r="G226" t="s">
        <v>25</v>
      </c>
      <c r="H226">
        <v>3.5</v>
      </c>
      <c r="I226">
        <v>288</v>
      </c>
      <c r="J226" t="s">
        <v>30</v>
      </c>
      <c r="K226" t="str">
        <f t="shared" si="21"/>
        <v>Neutral</v>
      </c>
      <c r="L226">
        <f t="shared" si="22"/>
        <v>288</v>
      </c>
      <c r="M226" t="str">
        <f t="shared" si="23"/>
        <v>Medium</v>
      </c>
      <c r="N226" s="4" t="str">
        <f t="shared" si="24"/>
        <v>Saf</v>
      </c>
      <c r="O226" s="4" t="str">
        <f t="shared" si="25"/>
        <v>KANHA</v>
      </c>
      <c r="P226" s="4" t="str">
        <f t="shared" si="26"/>
        <v>Good Guide Support</v>
      </c>
      <c r="Q226" s="4">
        <f t="shared" si="27"/>
        <v>10</v>
      </c>
    </row>
    <row r="227" spans="1:17">
      <c r="A227">
        <v>1226</v>
      </c>
      <c r="B227" t="s">
        <v>86</v>
      </c>
      <c r="C227" t="s">
        <v>18</v>
      </c>
      <c r="D227" t="s">
        <v>48</v>
      </c>
      <c r="E227" s="1">
        <v>45618</v>
      </c>
      <c r="F227">
        <v>164</v>
      </c>
      <c r="G227" t="s">
        <v>25</v>
      </c>
      <c r="H227">
        <v>3.9</v>
      </c>
      <c r="I227">
        <v>132</v>
      </c>
      <c r="J227" t="s">
        <v>26</v>
      </c>
      <c r="K227" t="str">
        <f t="shared" si="21"/>
        <v>Neutral</v>
      </c>
      <c r="L227">
        <f t="shared" si="22"/>
        <v>132</v>
      </c>
      <c r="M227" t="str">
        <f t="shared" si="23"/>
        <v>Long</v>
      </c>
      <c r="N227" s="4" t="str">
        <f t="shared" si="24"/>
        <v>Cam</v>
      </c>
      <c r="O227" s="4" t="str">
        <f t="shared" si="25"/>
        <v>SUNDARBANS</v>
      </c>
      <c r="P227" s="4" t="str">
        <f t="shared" si="26"/>
        <v>Excellent Wildlife View</v>
      </c>
      <c r="Q227" s="4">
        <f t="shared" si="27"/>
        <v>10</v>
      </c>
    </row>
    <row r="228" spans="1:17">
      <c r="A228">
        <v>1227</v>
      </c>
      <c r="B228" t="s">
        <v>75</v>
      </c>
      <c r="C228" t="s">
        <v>43</v>
      </c>
      <c r="D228" t="s">
        <v>48</v>
      </c>
      <c r="E228" s="1">
        <v>45470</v>
      </c>
      <c r="F228">
        <v>66</v>
      </c>
      <c r="G228" t="s">
        <v>20</v>
      </c>
      <c r="H228">
        <v>4.3</v>
      </c>
      <c r="I228">
        <v>360</v>
      </c>
      <c r="J228" t="s">
        <v>32</v>
      </c>
      <c r="K228" t="str">
        <f t="shared" si="21"/>
        <v>Good</v>
      </c>
      <c r="L228">
        <f t="shared" si="22"/>
        <v>360</v>
      </c>
      <c r="M228" t="str">
        <f t="shared" si="23"/>
        <v>Medium</v>
      </c>
      <c r="N228" s="4" t="str">
        <f t="shared" si="24"/>
        <v>Cam</v>
      </c>
      <c r="O228" s="4" t="str">
        <f t="shared" si="25"/>
        <v>RANTHAMBORE</v>
      </c>
      <c r="P228" s="4" t="str">
        <f t="shared" si="26"/>
        <v>No Comments</v>
      </c>
      <c r="Q228" s="4">
        <f t="shared" si="27"/>
        <v>12</v>
      </c>
    </row>
    <row r="229" spans="1:17">
      <c r="A229">
        <v>1228</v>
      </c>
      <c r="B229" t="s">
        <v>85</v>
      </c>
      <c r="C229" t="s">
        <v>18</v>
      </c>
      <c r="D229" t="s">
        <v>24</v>
      </c>
      <c r="E229" s="1">
        <v>45491</v>
      </c>
      <c r="F229">
        <v>163</v>
      </c>
      <c r="G229" t="s">
        <v>38</v>
      </c>
      <c r="H229">
        <v>2.7</v>
      </c>
      <c r="I229">
        <v>305</v>
      </c>
      <c r="J229" t="s">
        <v>73</v>
      </c>
      <c r="K229" t="str">
        <f t="shared" si="21"/>
        <v>Bad</v>
      </c>
      <c r="L229">
        <f t="shared" si="22"/>
        <v>305</v>
      </c>
      <c r="M229" t="str">
        <f t="shared" si="23"/>
        <v>Long</v>
      </c>
      <c r="N229" s="4" t="str">
        <f t="shared" si="24"/>
        <v>Saf</v>
      </c>
      <c r="O229" s="4" t="str">
        <f t="shared" si="25"/>
        <v>SUNDARBANS</v>
      </c>
      <c r="P229" s="4" t="str">
        <f t="shared" si="26"/>
        <v>Peaceful Environment</v>
      </c>
      <c r="Q229" s="4">
        <f t="shared" si="27"/>
        <v>9</v>
      </c>
    </row>
    <row r="230" spans="1:17">
      <c r="A230">
        <v>1229</v>
      </c>
      <c r="B230" t="s">
        <v>36</v>
      </c>
      <c r="C230" t="s">
        <v>34</v>
      </c>
      <c r="D230" t="s">
        <v>53</v>
      </c>
      <c r="E230" s="1">
        <v>45383</v>
      </c>
      <c r="F230">
        <v>94</v>
      </c>
      <c r="G230" t="s">
        <v>20</v>
      </c>
      <c r="H230">
        <v>4.2</v>
      </c>
      <c r="I230">
        <v>394</v>
      </c>
      <c r="J230" t="s">
        <v>73</v>
      </c>
      <c r="K230" t="str">
        <f t="shared" si="21"/>
        <v>Good</v>
      </c>
      <c r="L230">
        <f t="shared" si="22"/>
        <v>394</v>
      </c>
      <c r="M230" t="str">
        <f t="shared" si="23"/>
        <v>Long</v>
      </c>
      <c r="N230" s="4" t="str">
        <f t="shared" si="24"/>
        <v>Boa</v>
      </c>
      <c r="O230" s="4" t="str">
        <f t="shared" si="25"/>
        <v>GIR</v>
      </c>
      <c r="P230" s="4" t="str">
        <f t="shared" si="26"/>
        <v>Peaceful Environment</v>
      </c>
      <c r="Q230" s="4">
        <f t="shared" si="27"/>
        <v>12</v>
      </c>
    </row>
    <row r="231" spans="1:17">
      <c r="A231">
        <v>1230</v>
      </c>
      <c r="B231" t="s">
        <v>56</v>
      </c>
      <c r="C231" t="s">
        <v>45</v>
      </c>
      <c r="D231" t="s">
        <v>37</v>
      </c>
      <c r="E231" s="1">
        <v>45306</v>
      </c>
      <c r="F231">
        <v>110</v>
      </c>
      <c r="G231" t="s">
        <v>20</v>
      </c>
      <c r="H231">
        <v>4.5999999999999996</v>
      </c>
      <c r="I231">
        <v>146</v>
      </c>
      <c r="J231" t="s">
        <v>73</v>
      </c>
      <c r="K231" t="str">
        <f t="shared" si="21"/>
        <v>Good</v>
      </c>
      <c r="L231">
        <f t="shared" si="22"/>
        <v>146</v>
      </c>
      <c r="M231" t="str">
        <f t="shared" si="23"/>
        <v>Long</v>
      </c>
      <c r="N231" s="4" t="str">
        <f t="shared" si="24"/>
        <v>Bir</v>
      </c>
      <c r="O231" s="4" t="str">
        <f t="shared" si="25"/>
        <v>KANHA</v>
      </c>
      <c r="P231" s="4" t="str">
        <f t="shared" si="26"/>
        <v>Peaceful Environment</v>
      </c>
      <c r="Q231" s="4">
        <f t="shared" si="27"/>
        <v>12</v>
      </c>
    </row>
    <row r="232" spans="1:17">
      <c r="A232">
        <v>1231</v>
      </c>
      <c r="B232" t="s">
        <v>55</v>
      </c>
      <c r="C232" t="s">
        <v>43</v>
      </c>
      <c r="D232" t="s">
        <v>24</v>
      </c>
      <c r="E232" s="1">
        <v>45466</v>
      </c>
      <c r="F232">
        <v>90</v>
      </c>
      <c r="G232" t="s">
        <v>25</v>
      </c>
      <c r="H232">
        <v>2.5</v>
      </c>
      <c r="I232">
        <v>158</v>
      </c>
      <c r="J232" t="s">
        <v>35</v>
      </c>
      <c r="K232" t="str">
        <f t="shared" si="21"/>
        <v>Bad</v>
      </c>
      <c r="L232">
        <f t="shared" si="22"/>
        <v>158</v>
      </c>
      <c r="M232" t="str">
        <f t="shared" si="23"/>
        <v>Long</v>
      </c>
      <c r="N232" s="4" t="str">
        <f t="shared" si="24"/>
        <v>Saf</v>
      </c>
      <c r="O232" s="4" t="str">
        <f t="shared" si="25"/>
        <v>RANTHAMBORE</v>
      </c>
      <c r="P232" s="4" t="str">
        <f t="shared" si="26"/>
        <v>Very Enjoyable</v>
      </c>
      <c r="Q232" s="4">
        <f t="shared" si="27"/>
        <v>11</v>
      </c>
    </row>
    <row r="233" spans="1:17">
      <c r="A233">
        <v>1232</v>
      </c>
      <c r="B233" t="s">
        <v>93</v>
      </c>
      <c r="C233" t="s">
        <v>18</v>
      </c>
      <c r="D233" t="s">
        <v>53</v>
      </c>
      <c r="E233" s="1">
        <v>45624</v>
      </c>
      <c r="F233">
        <v>210</v>
      </c>
      <c r="G233" t="s">
        <v>46</v>
      </c>
      <c r="H233">
        <v>4.5999999999999996</v>
      </c>
      <c r="I233">
        <v>212</v>
      </c>
      <c r="J233" t="s">
        <v>30</v>
      </c>
      <c r="K233" t="str">
        <f t="shared" si="21"/>
        <v>Good</v>
      </c>
      <c r="L233">
        <f t="shared" si="22"/>
        <v>212</v>
      </c>
      <c r="M233" t="str">
        <f t="shared" si="23"/>
        <v>Very Long</v>
      </c>
      <c r="N233" s="4" t="str">
        <f t="shared" si="24"/>
        <v>Boa</v>
      </c>
      <c r="O233" s="4" t="str">
        <f t="shared" si="25"/>
        <v>SUNDARBANS</v>
      </c>
      <c r="P233" s="4" t="str">
        <f t="shared" si="26"/>
        <v>Good Guide Support</v>
      </c>
      <c r="Q233" s="4">
        <f t="shared" si="27"/>
        <v>11</v>
      </c>
    </row>
    <row r="234" spans="1:17">
      <c r="A234">
        <v>1233</v>
      </c>
      <c r="B234" t="s">
        <v>95</v>
      </c>
      <c r="C234" t="s">
        <v>43</v>
      </c>
      <c r="D234" t="s">
        <v>48</v>
      </c>
      <c r="E234" s="1">
        <v>45486</v>
      </c>
      <c r="F234">
        <v>181</v>
      </c>
      <c r="G234" t="s">
        <v>25</v>
      </c>
      <c r="H234">
        <v>3.4</v>
      </c>
      <c r="I234">
        <v>463</v>
      </c>
      <c r="J234" t="s">
        <v>50</v>
      </c>
      <c r="K234" t="str">
        <f t="shared" si="21"/>
        <v>Neutral</v>
      </c>
      <c r="L234">
        <f t="shared" si="22"/>
        <v>463</v>
      </c>
      <c r="M234" t="str">
        <f t="shared" si="23"/>
        <v>Very Long</v>
      </c>
      <c r="N234" s="4" t="str">
        <f t="shared" si="24"/>
        <v>Cam</v>
      </c>
      <c r="O234" s="4" t="str">
        <f t="shared" si="25"/>
        <v>RANTHAMBORE</v>
      </c>
      <c r="P234" s="4" t="str">
        <f t="shared" si="26"/>
        <v>Saw Rare Species</v>
      </c>
      <c r="Q234" s="4">
        <f t="shared" si="27"/>
        <v>11</v>
      </c>
    </row>
    <row r="235" spans="1:17">
      <c r="A235">
        <v>1234</v>
      </c>
      <c r="B235" t="s">
        <v>135</v>
      </c>
      <c r="C235" t="s">
        <v>18</v>
      </c>
      <c r="D235" t="s">
        <v>48</v>
      </c>
      <c r="E235" s="1">
        <v>45516</v>
      </c>
      <c r="F235">
        <v>217</v>
      </c>
      <c r="G235" t="s">
        <v>20</v>
      </c>
      <c r="H235">
        <v>3.6</v>
      </c>
      <c r="I235">
        <v>351</v>
      </c>
      <c r="J235" t="s">
        <v>21</v>
      </c>
      <c r="K235" t="str">
        <f t="shared" si="21"/>
        <v>Neutral</v>
      </c>
      <c r="L235">
        <f t="shared" si="22"/>
        <v>351</v>
      </c>
      <c r="M235" t="str">
        <f t="shared" si="23"/>
        <v>Very Long</v>
      </c>
      <c r="N235" s="4" t="str">
        <f t="shared" si="24"/>
        <v>Cam</v>
      </c>
      <c r="O235" s="4" t="str">
        <f t="shared" si="25"/>
        <v>SUNDARBANS</v>
      </c>
      <c r="P235" s="4" t="str">
        <f t="shared" si="26"/>
        <v>Too Crowded</v>
      </c>
      <c r="Q235" s="4">
        <f t="shared" si="27"/>
        <v>11</v>
      </c>
    </row>
    <row r="236" spans="1:17">
      <c r="A236">
        <v>1235</v>
      </c>
      <c r="B236" t="s">
        <v>125</v>
      </c>
      <c r="C236" t="s">
        <v>18</v>
      </c>
      <c r="D236" t="s">
        <v>24</v>
      </c>
      <c r="E236" s="1">
        <v>45492</v>
      </c>
      <c r="F236">
        <v>132</v>
      </c>
      <c r="G236" t="s">
        <v>25</v>
      </c>
      <c r="H236">
        <v>4.5</v>
      </c>
      <c r="I236">
        <v>357</v>
      </c>
      <c r="J236" t="s">
        <v>73</v>
      </c>
      <c r="K236" t="str">
        <f t="shared" si="21"/>
        <v>Good</v>
      </c>
      <c r="L236">
        <f t="shared" si="22"/>
        <v>357</v>
      </c>
      <c r="M236" t="str">
        <f t="shared" si="23"/>
        <v>Long</v>
      </c>
      <c r="N236" s="4" t="str">
        <f t="shared" si="24"/>
        <v>Saf</v>
      </c>
      <c r="O236" s="4" t="str">
        <f t="shared" si="25"/>
        <v>SUNDARBANS</v>
      </c>
      <c r="P236" s="4" t="str">
        <f t="shared" si="26"/>
        <v>Peaceful Environment</v>
      </c>
      <c r="Q236" s="4">
        <f t="shared" si="27"/>
        <v>11</v>
      </c>
    </row>
    <row r="237" spans="1:17">
      <c r="A237">
        <v>1236</v>
      </c>
      <c r="B237" t="s">
        <v>93</v>
      </c>
      <c r="C237" t="s">
        <v>34</v>
      </c>
      <c r="D237" t="s">
        <v>48</v>
      </c>
      <c r="E237" s="1">
        <v>45463</v>
      </c>
      <c r="F237">
        <v>118</v>
      </c>
      <c r="G237" t="s">
        <v>20</v>
      </c>
      <c r="H237">
        <v>3</v>
      </c>
      <c r="I237">
        <v>205</v>
      </c>
      <c r="J237" t="s">
        <v>73</v>
      </c>
      <c r="K237" t="str">
        <f t="shared" si="21"/>
        <v>Neutral</v>
      </c>
      <c r="L237">
        <f t="shared" si="22"/>
        <v>205</v>
      </c>
      <c r="M237" t="str">
        <f t="shared" si="23"/>
        <v>Long</v>
      </c>
      <c r="N237" s="4" t="str">
        <f t="shared" si="24"/>
        <v>Cam</v>
      </c>
      <c r="O237" s="4" t="str">
        <f t="shared" si="25"/>
        <v>GIR</v>
      </c>
      <c r="P237" s="4" t="str">
        <f t="shared" si="26"/>
        <v>Peaceful Environment</v>
      </c>
      <c r="Q237" s="4">
        <f t="shared" si="27"/>
        <v>11</v>
      </c>
    </row>
    <row r="238" spans="1:17">
      <c r="A238">
        <v>1237</v>
      </c>
      <c r="B238" t="s">
        <v>79</v>
      </c>
      <c r="C238" t="s">
        <v>45</v>
      </c>
      <c r="D238" t="s">
        <v>53</v>
      </c>
      <c r="E238" s="1">
        <v>45647</v>
      </c>
      <c r="F238">
        <v>130</v>
      </c>
      <c r="G238" t="s">
        <v>25</v>
      </c>
      <c r="H238">
        <v>4.9000000000000004</v>
      </c>
      <c r="I238">
        <v>312</v>
      </c>
      <c r="J238" t="s">
        <v>26</v>
      </c>
      <c r="K238" t="str">
        <f t="shared" si="21"/>
        <v>Good</v>
      </c>
      <c r="L238">
        <f t="shared" si="22"/>
        <v>312</v>
      </c>
      <c r="M238" t="str">
        <f t="shared" si="23"/>
        <v>Long</v>
      </c>
      <c r="N238" s="4" t="str">
        <f t="shared" si="24"/>
        <v>Boa</v>
      </c>
      <c r="O238" s="4" t="str">
        <f t="shared" si="25"/>
        <v>KANHA</v>
      </c>
      <c r="P238" s="4" t="str">
        <f t="shared" si="26"/>
        <v>Excellent Wildlife View</v>
      </c>
      <c r="Q238" s="4">
        <f t="shared" si="27"/>
        <v>11</v>
      </c>
    </row>
    <row r="239" spans="1:17">
      <c r="A239">
        <v>1238</v>
      </c>
      <c r="B239" t="s">
        <v>130</v>
      </c>
      <c r="C239" t="s">
        <v>18</v>
      </c>
      <c r="D239" t="s">
        <v>53</v>
      </c>
      <c r="E239" s="1">
        <v>45477</v>
      </c>
      <c r="F239">
        <v>167</v>
      </c>
      <c r="G239" t="s">
        <v>20</v>
      </c>
      <c r="H239">
        <v>2.9</v>
      </c>
      <c r="I239">
        <v>285</v>
      </c>
      <c r="J239" t="s">
        <v>68</v>
      </c>
      <c r="K239" t="str">
        <f t="shared" si="21"/>
        <v>Bad</v>
      </c>
      <c r="L239">
        <f t="shared" si="22"/>
        <v>285</v>
      </c>
      <c r="M239" t="str">
        <f t="shared" si="23"/>
        <v>Long</v>
      </c>
      <c r="N239" s="4" t="str">
        <f t="shared" si="24"/>
        <v>Boa</v>
      </c>
      <c r="O239" s="4" t="str">
        <f t="shared" si="25"/>
        <v>SUNDARBANS</v>
      </c>
      <c r="P239" s="4" t="str">
        <f t="shared" si="26"/>
        <v>Average Service</v>
      </c>
      <c r="Q239" s="4">
        <f t="shared" si="27"/>
        <v>9</v>
      </c>
    </row>
    <row r="240" spans="1:17">
      <c r="A240">
        <v>1239</v>
      </c>
      <c r="B240" t="s">
        <v>112</v>
      </c>
      <c r="C240" t="s">
        <v>18</v>
      </c>
      <c r="D240" t="s">
        <v>19</v>
      </c>
      <c r="E240" s="1">
        <v>45652</v>
      </c>
      <c r="F240">
        <v>127</v>
      </c>
      <c r="G240" t="s">
        <v>38</v>
      </c>
      <c r="H240">
        <v>3.5</v>
      </c>
      <c r="I240">
        <v>298</v>
      </c>
      <c r="J240" t="s">
        <v>54</v>
      </c>
      <c r="K240" t="str">
        <f t="shared" si="21"/>
        <v>Neutral</v>
      </c>
      <c r="L240">
        <f t="shared" si="22"/>
        <v>298</v>
      </c>
      <c r="M240" t="str">
        <f t="shared" si="23"/>
        <v>Long</v>
      </c>
      <c r="N240" s="4" t="str">
        <f t="shared" si="24"/>
        <v>Pho</v>
      </c>
      <c r="O240" s="4" t="str">
        <f t="shared" si="25"/>
        <v>SUNDARBANS</v>
      </c>
      <c r="P240" s="4" t="str">
        <f t="shared" si="26"/>
        <v>Could Be Cleaner</v>
      </c>
      <c r="Q240" s="4">
        <f t="shared" si="27"/>
        <v>12</v>
      </c>
    </row>
    <row r="241" spans="1:17">
      <c r="A241">
        <v>1240</v>
      </c>
      <c r="B241" t="s">
        <v>94</v>
      </c>
      <c r="C241" t="s">
        <v>41</v>
      </c>
      <c r="D241" t="s">
        <v>24</v>
      </c>
      <c r="E241" s="1">
        <v>45561</v>
      </c>
      <c r="F241">
        <v>117</v>
      </c>
      <c r="G241" t="s">
        <v>20</v>
      </c>
      <c r="H241">
        <v>2.6</v>
      </c>
      <c r="I241">
        <v>482</v>
      </c>
      <c r="J241" t="s">
        <v>26</v>
      </c>
      <c r="K241" t="str">
        <f t="shared" si="21"/>
        <v>Bad</v>
      </c>
      <c r="L241">
        <f t="shared" si="22"/>
        <v>482</v>
      </c>
      <c r="M241" t="str">
        <f t="shared" si="23"/>
        <v>Long</v>
      </c>
      <c r="N241" s="4" t="str">
        <f t="shared" si="24"/>
        <v>Saf</v>
      </c>
      <c r="O241" s="4" t="str">
        <f t="shared" si="25"/>
        <v>JIM CORBETT</v>
      </c>
      <c r="P241" s="4" t="str">
        <f t="shared" si="26"/>
        <v>Excellent Wildlife View</v>
      </c>
      <c r="Q241" s="4">
        <f t="shared" si="27"/>
        <v>9</v>
      </c>
    </row>
    <row r="242" spans="1:17">
      <c r="A242">
        <v>1241</v>
      </c>
      <c r="B242" t="s">
        <v>63</v>
      </c>
      <c r="C242" t="s">
        <v>34</v>
      </c>
      <c r="D242" t="s">
        <v>29</v>
      </c>
      <c r="E242" s="1">
        <v>45601</v>
      </c>
      <c r="F242">
        <v>85</v>
      </c>
      <c r="G242" t="s">
        <v>46</v>
      </c>
      <c r="H242">
        <v>4.3</v>
      </c>
      <c r="I242">
        <v>457</v>
      </c>
      <c r="J242" t="s">
        <v>73</v>
      </c>
      <c r="K242" t="str">
        <f t="shared" si="21"/>
        <v>Good</v>
      </c>
      <c r="L242">
        <f t="shared" si="22"/>
        <v>457</v>
      </c>
      <c r="M242" t="str">
        <f t="shared" si="23"/>
        <v>Medium</v>
      </c>
      <c r="N242" s="4" t="str">
        <f t="shared" si="24"/>
        <v>Hik</v>
      </c>
      <c r="O242" s="4" t="str">
        <f t="shared" si="25"/>
        <v>GIR</v>
      </c>
      <c r="P242" s="4" t="str">
        <f t="shared" si="26"/>
        <v>Peaceful Environment</v>
      </c>
      <c r="Q242" s="4">
        <f t="shared" si="27"/>
        <v>10</v>
      </c>
    </row>
    <row r="243" spans="1:17">
      <c r="A243">
        <v>1242</v>
      </c>
      <c r="B243" t="s">
        <v>90</v>
      </c>
      <c r="C243" t="s">
        <v>23</v>
      </c>
      <c r="D243" t="s">
        <v>48</v>
      </c>
      <c r="E243" s="1">
        <v>45480</v>
      </c>
      <c r="F243">
        <v>201</v>
      </c>
      <c r="G243" t="s">
        <v>38</v>
      </c>
      <c r="H243">
        <v>4.2</v>
      </c>
      <c r="I243">
        <v>313</v>
      </c>
      <c r="J243" t="s">
        <v>35</v>
      </c>
      <c r="K243" t="str">
        <f t="shared" si="21"/>
        <v>Good</v>
      </c>
      <c r="L243">
        <f t="shared" si="22"/>
        <v>313</v>
      </c>
      <c r="M243" t="str">
        <f t="shared" si="23"/>
        <v>Very Long</v>
      </c>
      <c r="N243" s="4" t="str">
        <f t="shared" si="24"/>
        <v>Cam</v>
      </c>
      <c r="O243" s="4" t="str">
        <f t="shared" si="25"/>
        <v>BANDHAVGARH</v>
      </c>
      <c r="P243" s="4" t="str">
        <f t="shared" si="26"/>
        <v>Very Enjoyable</v>
      </c>
      <c r="Q243" s="4">
        <f t="shared" si="27"/>
        <v>12</v>
      </c>
    </row>
    <row r="244" spans="1:17">
      <c r="A244">
        <v>1243</v>
      </c>
      <c r="B244" t="s">
        <v>130</v>
      </c>
      <c r="C244" t="s">
        <v>41</v>
      </c>
      <c r="D244" t="s">
        <v>48</v>
      </c>
      <c r="E244" s="1">
        <v>45319</v>
      </c>
      <c r="F244">
        <v>145</v>
      </c>
      <c r="G244" t="s">
        <v>25</v>
      </c>
      <c r="H244">
        <v>4.9000000000000004</v>
      </c>
      <c r="I244">
        <v>387</v>
      </c>
      <c r="J244" t="s">
        <v>35</v>
      </c>
      <c r="K244" t="str">
        <f t="shared" si="21"/>
        <v>Good</v>
      </c>
      <c r="L244">
        <f t="shared" si="22"/>
        <v>387</v>
      </c>
      <c r="M244" t="str">
        <f t="shared" si="23"/>
        <v>Long</v>
      </c>
      <c r="N244" s="4" t="str">
        <f t="shared" si="24"/>
        <v>Cam</v>
      </c>
      <c r="O244" s="4" t="str">
        <f t="shared" si="25"/>
        <v>JIM CORBETT</v>
      </c>
      <c r="P244" s="4" t="str">
        <f t="shared" si="26"/>
        <v>Very Enjoyable</v>
      </c>
      <c r="Q244" s="4">
        <f t="shared" si="27"/>
        <v>9</v>
      </c>
    </row>
    <row r="245" spans="1:17">
      <c r="A245">
        <v>1244</v>
      </c>
      <c r="B245" t="s">
        <v>76</v>
      </c>
      <c r="C245" t="s">
        <v>43</v>
      </c>
      <c r="D245" t="s">
        <v>19</v>
      </c>
      <c r="E245" s="1">
        <v>45373</v>
      </c>
      <c r="F245">
        <v>25</v>
      </c>
      <c r="G245" t="s">
        <v>46</v>
      </c>
      <c r="H245">
        <v>3</v>
      </c>
      <c r="I245">
        <v>409</v>
      </c>
      <c r="J245" t="s">
        <v>73</v>
      </c>
      <c r="K245" t="str">
        <f t="shared" si="21"/>
        <v>Neutral</v>
      </c>
      <c r="L245">
        <f t="shared" si="22"/>
        <v>409</v>
      </c>
      <c r="M245" t="str">
        <f t="shared" si="23"/>
        <v>Short</v>
      </c>
      <c r="N245" s="4" t="str">
        <f t="shared" si="24"/>
        <v>Pho</v>
      </c>
      <c r="O245" s="4" t="str">
        <f t="shared" si="25"/>
        <v>RANTHAMBORE</v>
      </c>
      <c r="P245" s="4" t="str">
        <f t="shared" si="26"/>
        <v>Peaceful Environment</v>
      </c>
      <c r="Q245" s="4">
        <f t="shared" si="27"/>
        <v>11</v>
      </c>
    </row>
    <row r="246" spans="1:17">
      <c r="A246">
        <v>1245</v>
      </c>
      <c r="B246" t="s">
        <v>61</v>
      </c>
      <c r="C246" t="s">
        <v>34</v>
      </c>
      <c r="D246" t="s">
        <v>29</v>
      </c>
      <c r="E246" s="1">
        <v>45485</v>
      </c>
      <c r="F246">
        <v>144</v>
      </c>
      <c r="G246" t="s">
        <v>20</v>
      </c>
      <c r="H246">
        <v>4.4000000000000004</v>
      </c>
      <c r="I246">
        <v>437</v>
      </c>
      <c r="J246" t="s">
        <v>21</v>
      </c>
      <c r="K246" t="str">
        <f t="shared" si="21"/>
        <v>Good</v>
      </c>
      <c r="L246">
        <f t="shared" si="22"/>
        <v>437</v>
      </c>
      <c r="M246" t="str">
        <f t="shared" si="23"/>
        <v>Long</v>
      </c>
      <c r="N246" s="4" t="str">
        <f t="shared" si="24"/>
        <v>Hik</v>
      </c>
      <c r="O246" s="4" t="str">
        <f t="shared" si="25"/>
        <v>GIR</v>
      </c>
      <c r="P246" s="4" t="str">
        <f t="shared" si="26"/>
        <v>Too Crowded</v>
      </c>
      <c r="Q246" s="4">
        <f t="shared" si="27"/>
        <v>11</v>
      </c>
    </row>
    <row r="247" spans="1:17">
      <c r="A247">
        <v>1246</v>
      </c>
      <c r="B247" t="s">
        <v>90</v>
      </c>
      <c r="C247" t="s">
        <v>34</v>
      </c>
      <c r="D247" t="s">
        <v>53</v>
      </c>
      <c r="E247" s="1">
        <v>45574</v>
      </c>
      <c r="F247">
        <v>206</v>
      </c>
      <c r="G247" t="s">
        <v>20</v>
      </c>
      <c r="H247">
        <v>3.8</v>
      </c>
      <c r="I247">
        <v>374</v>
      </c>
      <c r="J247" t="s">
        <v>54</v>
      </c>
      <c r="K247" t="str">
        <f t="shared" si="21"/>
        <v>Neutral</v>
      </c>
      <c r="L247">
        <f t="shared" si="22"/>
        <v>374</v>
      </c>
      <c r="M247" t="str">
        <f t="shared" si="23"/>
        <v>Very Long</v>
      </c>
      <c r="N247" s="4" t="str">
        <f t="shared" si="24"/>
        <v>Boa</v>
      </c>
      <c r="O247" s="4" t="str">
        <f t="shared" si="25"/>
        <v>GIR</v>
      </c>
      <c r="P247" s="4" t="str">
        <f t="shared" si="26"/>
        <v>Could Be Cleaner</v>
      </c>
      <c r="Q247" s="4">
        <f t="shared" si="27"/>
        <v>12</v>
      </c>
    </row>
    <row r="248" spans="1:17">
      <c r="A248">
        <v>1247</v>
      </c>
      <c r="B248" t="s">
        <v>92</v>
      </c>
      <c r="C248" t="s">
        <v>23</v>
      </c>
      <c r="D248" t="s">
        <v>24</v>
      </c>
      <c r="E248" s="1">
        <v>45548</v>
      </c>
      <c r="F248">
        <v>90</v>
      </c>
      <c r="G248" t="s">
        <v>25</v>
      </c>
      <c r="H248">
        <v>4.5999999999999996</v>
      </c>
      <c r="I248">
        <v>137</v>
      </c>
      <c r="J248" t="s">
        <v>54</v>
      </c>
      <c r="K248" t="str">
        <f t="shared" si="21"/>
        <v>Good</v>
      </c>
      <c r="L248">
        <f t="shared" si="22"/>
        <v>137</v>
      </c>
      <c r="M248" t="str">
        <f t="shared" si="23"/>
        <v>Long</v>
      </c>
      <c r="N248" s="4" t="str">
        <f t="shared" si="24"/>
        <v>Saf</v>
      </c>
      <c r="O248" s="4" t="str">
        <f t="shared" si="25"/>
        <v>BANDHAVGARH</v>
      </c>
      <c r="P248" s="4" t="str">
        <f t="shared" si="26"/>
        <v>Could Be Cleaner</v>
      </c>
      <c r="Q248" s="4">
        <f t="shared" si="27"/>
        <v>11</v>
      </c>
    </row>
    <row r="249" spans="1:17">
      <c r="A249">
        <v>1248</v>
      </c>
      <c r="B249" t="s">
        <v>87</v>
      </c>
      <c r="C249" t="s">
        <v>18</v>
      </c>
      <c r="D249" t="s">
        <v>19</v>
      </c>
      <c r="E249" s="1">
        <v>45553</v>
      </c>
      <c r="F249">
        <v>202</v>
      </c>
      <c r="G249" t="s">
        <v>46</v>
      </c>
      <c r="H249">
        <v>4.4000000000000004</v>
      </c>
      <c r="I249">
        <v>493</v>
      </c>
      <c r="J249" t="s">
        <v>32</v>
      </c>
      <c r="K249" t="str">
        <f t="shared" si="21"/>
        <v>Good</v>
      </c>
      <c r="L249">
        <f t="shared" si="22"/>
        <v>493</v>
      </c>
      <c r="M249" t="str">
        <f t="shared" si="23"/>
        <v>Very Long</v>
      </c>
      <c r="N249" s="4" t="str">
        <f t="shared" si="24"/>
        <v>Pho</v>
      </c>
      <c r="O249" s="4" t="str">
        <f t="shared" si="25"/>
        <v>SUNDARBANS</v>
      </c>
      <c r="P249" s="4" t="str">
        <f t="shared" si="26"/>
        <v>No Comments</v>
      </c>
      <c r="Q249" s="4">
        <f t="shared" si="27"/>
        <v>10</v>
      </c>
    </row>
    <row r="250" spans="1:17">
      <c r="A250">
        <v>1249</v>
      </c>
      <c r="B250" t="s">
        <v>89</v>
      </c>
      <c r="C250" t="s">
        <v>23</v>
      </c>
      <c r="D250" t="s">
        <v>24</v>
      </c>
      <c r="E250" s="1">
        <v>45300</v>
      </c>
      <c r="F250">
        <v>156</v>
      </c>
      <c r="G250" t="s">
        <v>38</v>
      </c>
      <c r="H250">
        <v>2.9</v>
      </c>
      <c r="I250">
        <v>498</v>
      </c>
      <c r="J250" t="s">
        <v>21</v>
      </c>
      <c r="K250" t="str">
        <f t="shared" si="21"/>
        <v>Bad</v>
      </c>
      <c r="L250">
        <f t="shared" si="22"/>
        <v>498</v>
      </c>
      <c r="M250" t="str">
        <f t="shared" si="23"/>
        <v>Long</v>
      </c>
      <c r="N250" s="4" t="str">
        <f t="shared" si="24"/>
        <v>Saf</v>
      </c>
      <c r="O250" s="4" t="str">
        <f t="shared" si="25"/>
        <v>BANDHAVGARH</v>
      </c>
      <c r="P250" s="4" t="str">
        <f t="shared" si="26"/>
        <v>Too Crowded</v>
      </c>
      <c r="Q250" s="4">
        <f t="shared" si="27"/>
        <v>11</v>
      </c>
    </row>
    <row r="251" spans="1:17">
      <c r="A251">
        <v>1250</v>
      </c>
      <c r="B251" t="s">
        <v>126</v>
      </c>
      <c r="C251" t="s">
        <v>45</v>
      </c>
      <c r="D251" t="s">
        <v>37</v>
      </c>
      <c r="E251" s="1">
        <v>45478</v>
      </c>
      <c r="F251">
        <v>136</v>
      </c>
      <c r="G251" t="s">
        <v>38</v>
      </c>
      <c r="H251">
        <v>4.3</v>
      </c>
      <c r="I251">
        <v>111</v>
      </c>
      <c r="J251" t="s">
        <v>54</v>
      </c>
      <c r="K251" t="str">
        <f t="shared" si="21"/>
        <v>Good</v>
      </c>
      <c r="L251">
        <f t="shared" si="22"/>
        <v>111</v>
      </c>
      <c r="M251" t="str">
        <f t="shared" si="23"/>
        <v>Long</v>
      </c>
      <c r="N251" s="4" t="str">
        <f t="shared" si="24"/>
        <v>Bir</v>
      </c>
      <c r="O251" s="4" t="str">
        <f t="shared" si="25"/>
        <v>KANHA</v>
      </c>
      <c r="P251" s="4" t="str">
        <f t="shared" si="26"/>
        <v>Could Be Cleaner</v>
      </c>
      <c r="Q251" s="4">
        <f t="shared" si="27"/>
        <v>9</v>
      </c>
    </row>
    <row r="252" spans="1:17">
      <c r="A252">
        <v>1251</v>
      </c>
      <c r="B252" t="s">
        <v>128</v>
      </c>
      <c r="C252" t="s">
        <v>18</v>
      </c>
      <c r="D252" t="s">
        <v>24</v>
      </c>
      <c r="E252" s="1">
        <v>45400</v>
      </c>
      <c r="F252">
        <v>174</v>
      </c>
      <c r="G252" t="s">
        <v>20</v>
      </c>
      <c r="H252">
        <v>3.3</v>
      </c>
      <c r="I252">
        <v>384</v>
      </c>
      <c r="J252" t="s">
        <v>26</v>
      </c>
      <c r="K252" t="str">
        <f t="shared" si="21"/>
        <v>Neutral</v>
      </c>
      <c r="L252">
        <f t="shared" si="22"/>
        <v>384</v>
      </c>
      <c r="M252" t="str">
        <f t="shared" si="23"/>
        <v>Long</v>
      </c>
      <c r="N252" s="4" t="str">
        <f t="shared" si="24"/>
        <v>Saf</v>
      </c>
      <c r="O252" s="4" t="str">
        <f t="shared" si="25"/>
        <v>SUNDARBANS</v>
      </c>
      <c r="P252" s="4" t="str">
        <f t="shared" si="26"/>
        <v>Excellent Wildlife View</v>
      </c>
      <c r="Q252" s="4">
        <f t="shared" si="27"/>
        <v>11</v>
      </c>
    </row>
    <row r="253" spans="1:17">
      <c r="A253">
        <v>1252</v>
      </c>
      <c r="B253" t="s">
        <v>82</v>
      </c>
      <c r="C253" t="s">
        <v>23</v>
      </c>
      <c r="D253" t="s">
        <v>29</v>
      </c>
      <c r="E253" s="1">
        <v>45533</v>
      </c>
      <c r="F253">
        <v>215</v>
      </c>
      <c r="G253" t="s">
        <v>20</v>
      </c>
      <c r="H253">
        <v>3.3</v>
      </c>
      <c r="I253">
        <v>339</v>
      </c>
      <c r="J253" t="s">
        <v>26</v>
      </c>
      <c r="K253" t="str">
        <f t="shared" si="21"/>
        <v>Neutral</v>
      </c>
      <c r="L253">
        <f t="shared" si="22"/>
        <v>339</v>
      </c>
      <c r="M253" t="str">
        <f t="shared" si="23"/>
        <v>Very Long</v>
      </c>
      <c r="N253" s="4" t="str">
        <f t="shared" si="24"/>
        <v>Hik</v>
      </c>
      <c r="O253" s="4" t="str">
        <f t="shared" si="25"/>
        <v>BANDHAVGARH</v>
      </c>
      <c r="P253" s="4" t="str">
        <f t="shared" si="26"/>
        <v>Excellent Wildlife View</v>
      </c>
      <c r="Q253" s="4">
        <f t="shared" si="27"/>
        <v>11</v>
      </c>
    </row>
    <row r="254" spans="1:17">
      <c r="A254">
        <v>1253</v>
      </c>
      <c r="B254" t="s">
        <v>136</v>
      </c>
      <c r="C254" t="s">
        <v>28</v>
      </c>
      <c r="D254" t="s">
        <v>37</v>
      </c>
      <c r="E254" s="1">
        <v>45293</v>
      </c>
      <c r="F254">
        <v>123</v>
      </c>
      <c r="G254" t="s">
        <v>38</v>
      </c>
      <c r="H254">
        <v>4.9000000000000004</v>
      </c>
      <c r="I254">
        <v>228</v>
      </c>
      <c r="J254" t="s">
        <v>35</v>
      </c>
      <c r="K254" t="str">
        <f t="shared" si="21"/>
        <v>Good</v>
      </c>
      <c r="L254">
        <f t="shared" si="22"/>
        <v>228</v>
      </c>
      <c r="M254" t="str">
        <f t="shared" si="23"/>
        <v>Long</v>
      </c>
      <c r="N254" s="4" t="str">
        <f t="shared" si="24"/>
        <v>Bir</v>
      </c>
      <c r="O254" s="4" t="str">
        <f t="shared" si="25"/>
        <v>PERIYAR</v>
      </c>
      <c r="P254" s="4" t="str">
        <f t="shared" si="26"/>
        <v>Very Enjoyable</v>
      </c>
      <c r="Q254" s="4">
        <f t="shared" si="27"/>
        <v>11</v>
      </c>
    </row>
    <row r="255" spans="1:17">
      <c r="A255">
        <v>1254</v>
      </c>
      <c r="B255" t="s">
        <v>95</v>
      </c>
      <c r="C255" t="s">
        <v>34</v>
      </c>
      <c r="D255" t="s">
        <v>19</v>
      </c>
      <c r="E255" s="1">
        <v>45643</v>
      </c>
      <c r="F255">
        <v>63</v>
      </c>
      <c r="G255" t="s">
        <v>46</v>
      </c>
      <c r="H255">
        <v>2.8</v>
      </c>
      <c r="I255">
        <v>104</v>
      </c>
      <c r="J255" t="s">
        <v>32</v>
      </c>
      <c r="K255" t="str">
        <f t="shared" si="21"/>
        <v>Bad</v>
      </c>
      <c r="L255">
        <f t="shared" si="22"/>
        <v>104</v>
      </c>
      <c r="M255" t="str">
        <f t="shared" si="23"/>
        <v>Medium</v>
      </c>
      <c r="N255" s="4" t="str">
        <f t="shared" si="24"/>
        <v>Pho</v>
      </c>
      <c r="O255" s="4" t="str">
        <f t="shared" si="25"/>
        <v>GIR</v>
      </c>
      <c r="P255" s="4" t="str">
        <f t="shared" si="26"/>
        <v>No Comments</v>
      </c>
      <c r="Q255" s="4">
        <f t="shared" si="27"/>
        <v>11</v>
      </c>
    </row>
    <row r="256" spans="1:17">
      <c r="A256">
        <v>1255</v>
      </c>
      <c r="B256" t="s">
        <v>125</v>
      </c>
      <c r="C256" t="s">
        <v>23</v>
      </c>
      <c r="D256" t="s">
        <v>24</v>
      </c>
      <c r="E256" s="1">
        <v>45563</v>
      </c>
      <c r="F256">
        <v>101</v>
      </c>
      <c r="G256" t="s">
        <v>25</v>
      </c>
      <c r="H256">
        <v>4.4000000000000004</v>
      </c>
      <c r="I256">
        <v>365</v>
      </c>
      <c r="J256" t="s">
        <v>32</v>
      </c>
      <c r="K256" t="str">
        <f t="shared" si="21"/>
        <v>Good</v>
      </c>
      <c r="L256">
        <f t="shared" si="22"/>
        <v>365</v>
      </c>
      <c r="M256" t="str">
        <f t="shared" si="23"/>
        <v>Long</v>
      </c>
      <c r="N256" s="4" t="str">
        <f t="shared" si="24"/>
        <v>Saf</v>
      </c>
      <c r="O256" s="4" t="str">
        <f t="shared" si="25"/>
        <v>BANDHAVGARH</v>
      </c>
      <c r="P256" s="4" t="str">
        <f t="shared" si="26"/>
        <v>No Comments</v>
      </c>
      <c r="Q256" s="4">
        <f t="shared" si="27"/>
        <v>11</v>
      </c>
    </row>
    <row r="257" spans="1:17">
      <c r="A257">
        <v>1256</v>
      </c>
      <c r="B257" t="s">
        <v>137</v>
      </c>
      <c r="C257" t="s">
        <v>28</v>
      </c>
      <c r="D257" t="s">
        <v>48</v>
      </c>
      <c r="E257" s="1">
        <v>45483</v>
      </c>
      <c r="F257">
        <v>84</v>
      </c>
      <c r="G257" t="s">
        <v>38</v>
      </c>
      <c r="H257">
        <v>3</v>
      </c>
      <c r="I257">
        <v>142</v>
      </c>
      <c r="J257" t="s">
        <v>68</v>
      </c>
      <c r="K257" t="str">
        <f t="shared" si="21"/>
        <v>Neutral</v>
      </c>
      <c r="L257">
        <f t="shared" si="22"/>
        <v>142</v>
      </c>
      <c r="M257" t="str">
        <f t="shared" si="23"/>
        <v>Medium</v>
      </c>
      <c r="N257" s="4" t="str">
        <f t="shared" si="24"/>
        <v>Cam</v>
      </c>
      <c r="O257" s="4" t="str">
        <f t="shared" si="25"/>
        <v>PERIYAR</v>
      </c>
      <c r="P257" s="4" t="str">
        <f t="shared" si="26"/>
        <v>Average Service</v>
      </c>
      <c r="Q257" s="4">
        <f t="shared" si="27"/>
        <v>11</v>
      </c>
    </row>
    <row r="258" spans="1:17">
      <c r="A258">
        <v>1257</v>
      </c>
      <c r="B258" t="s">
        <v>122</v>
      </c>
      <c r="C258" t="s">
        <v>41</v>
      </c>
      <c r="D258" t="s">
        <v>37</v>
      </c>
      <c r="E258" s="1">
        <v>45414</v>
      </c>
      <c r="F258">
        <v>99</v>
      </c>
      <c r="G258" t="s">
        <v>38</v>
      </c>
      <c r="H258">
        <v>2.7</v>
      </c>
      <c r="I258">
        <v>217</v>
      </c>
      <c r="J258" t="s">
        <v>50</v>
      </c>
      <c r="K258" t="str">
        <f t="shared" ref="K258:K321" si="28">IF(H258&gt;4,"Good",IF(H258&gt;=3,"Neutral","Bad"))</f>
        <v>Bad</v>
      </c>
      <c r="L258">
        <f t="shared" ref="L258:L321" si="29">ROUND(I258,0)</f>
        <v>217</v>
      </c>
      <c r="M258" t="str">
        <f t="shared" ref="M258:M321" si="30">IF(F258&lt;30,"Short",IF(F258&lt;90,"Medium",IF(F258&lt;180,"Long","Very Long")))</f>
        <v>Long</v>
      </c>
      <c r="N258" s="4" t="str">
        <f t="shared" ref="N258:N321" si="31">LEFT(D258,3)</f>
        <v>Bir</v>
      </c>
      <c r="O258" s="4" t="str">
        <f t="shared" ref="O258:O321" si="32">UPPER(C258)</f>
        <v>JIM CORBETT</v>
      </c>
      <c r="P258" s="4" t="str">
        <f t="shared" ref="P258:P321" si="33">PROPER(J258)</f>
        <v>Saw Rare Species</v>
      </c>
      <c r="Q258" s="4">
        <f t="shared" ref="Q258:Q321" si="34">LEN(B258)</f>
        <v>12</v>
      </c>
    </row>
    <row r="259" spans="1:17">
      <c r="A259">
        <v>1258</v>
      </c>
      <c r="B259" t="s">
        <v>75</v>
      </c>
      <c r="C259" t="s">
        <v>45</v>
      </c>
      <c r="D259" t="s">
        <v>19</v>
      </c>
      <c r="E259" s="1">
        <v>45621</v>
      </c>
      <c r="F259">
        <v>35</v>
      </c>
      <c r="G259" t="s">
        <v>38</v>
      </c>
      <c r="H259">
        <v>4.7</v>
      </c>
      <c r="I259">
        <v>223</v>
      </c>
      <c r="J259" t="s">
        <v>73</v>
      </c>
      <c r="K259" t="str">
        <f t="shared" si="28"/>
        <v>Good</v>
      </c>
      <c r="L259">
        <f t="shared" si="29"/>
        <v>223</v>
      </c>
      <c r="M259" t="str">
        <f t="shared" si="30"/>
        <v>Medium</v>
      </c>
      <c r="N259" s="4" t="str">
        <f t="shared" si="31"/>
        <v>Pho</v>
      </c>
      <c r="O259" s="4" t="str">
        <f t="shared" si="32"/>
        <v>KANHA</v>
      </c>
      <c r="P259" s="4" t="str">
        <f t="shared" si="33"/>
        <v>Peaceful Environment</v>
      </c>
      <c r="Q259" s="4">
        <f t="shared" si="34"/>
        <v>12</v>
      </c>
    </row>
    <row r="260" spans="1:17">
      <c r="A260">
        <v>1259</v>
      </c>
      <c r="B260" t="s">
        <v>71</v>
      </c>
      <c r="C260" t="s">
        <v>52</v>
      </c>
      <c r="D260" t="s">
        <v>48</v>
      </c>
      <c r="E260" s="1">
        <v>45299</v>
      </c>
      <c r="F260">
        <v>97</v>
      </c>
      <c r="G260" t="s">
        <v>25</v>
      </c>
      <c r="H260">
        <v>4.8</v>
      </c>
      <c r="I260">
        <v>498</v>
      </c>
      <c r="J260" t="s">
        <v>73</v>
      </c>
      <c r="K260" t="str">
        <f t="shared" si="28"/>
        <v>Good</v>
      </c>
      <c r="L260">
        <f t="shared" si="29"/>
        <v>498</v>
      </c>
      <c r="M260" t="str">
        <f t="shared" si="30"/>
        <v>Long</v>
      </c>
      <c r="N260" s="4" t="str">
        <f t="shared" si="31"/>
        <v>Cam</v>
      </c>
      <c r="O260" s="4" t="str">
        <f t="shared" si="32"/>
        <v>KAZIRANGA</v>
      </c>
      <c r="P260" s="4" t="str">
        <f t="shared" si="33"/>
        <v>Peaceful Environment</v>
      </c>
      <c r="Q260" s="4">
        <f t="shared" si="34"/>
        <v>11</v>
      </c>
    </row>
    <row r="261" spans="1:17">
      <c r="A261">
        <v>1260</v>
      </c>
      <c r="B261" t="s">
        <v>132</v>
      </c>
      <c r="C261" t="s">
        <v>43</v>
      </c>
      <c r="D261" t="s">
        <v>53</v>
      </c>
      <c r="E261" s="1">
        <v>45628</v>
      </c>
      <c r="F261">
        <v>184</v>
      </c>
      <c r="G261" t="s">
        <v>25</v>
      </c>
      <c r="H261">
        <v>3.7</v>
      </c>
      <c r="I261">
        <v>146</v>
      </c>
      <c r="J261" t="s">
        <v>32</v>
      </c>
      <c r="K261" t="str">
        <f t="shared" si="28"/>
        <v>Neutral</v>
      </c>
      <c r="L261">
        <f t="shared" si="29"/>
        <v>146</v>
      </c>
      <c r="M261" t="str">
        <f t="shared" si="30"/>
        <v>Very Long</v>
      </c>
      <c r="N261" s="4" t="str">
        <f t="shared" si="31"/>
        <v>Boa</v>
      </c>
      <c r="O261" s="4" t="str">
        <f t="shared" si="32"/>
        <v>RANTHAMBORE</v>
      </c>
      <c r="P261" s="4" t="str">
        <f t="shared" si="33"/>
        <v>No Comments</v>
      </c>
      <c r="Q261" s="4">
        <f t="shared" si="34"/>
        <v>12</v>
      </c>
    </row>
    <row r="262" spans="1:17">
      <c r="A262">
        <v>1261</v>
      </c>
      <c r="B262" t="s">
        <v>104</v>
      </c>
      <c r="C262" t="s">
        <v>34</v>
      </c>
      <c r="D262" t="s">
        <v>24</v>
      </c>
      <c r="E262" s="1">
        <v>45504</v>
      </c>
      <c r="F262">
        <v>228</v>
      </c>
      <c r="G262" t="s">
        <v>38</v>
      </c>
      <c r="H262">
        <v>3.2</v>
      </c>
      <c r="I262">
        <v>126</v>
      </c>
      <c r="J262" t="s">
        <v>30</v>
      </c>
      <c r="K262" t="str">
        <f t="shared" si="28"/>
        <v>Neutral</v>
      </c>
      <c r="L262">
        <f t="shared" si="29"/>
        <v>126</v>
      </c>
      <c r="M262" t="str">
        <f t="shared" si="30"/>
        <v>Very Long</v>
      </c>
      <c r="N262" s="4" t="str">
        <f t="shared" si="31"/>
        <v>Saf</v>
      </c>
      <c r="O262" s="4" t="str">
        <f t="shared" si="32"/>
        <v>GIR</v>
      </c>
      <c r="P262" s="4" t="str">
        <f t="shared" si="33"/>
        <v>Good Guide Support</v>
      </c>
      <c r="Q262" s="4">
        <f t="shared" si="34"/>
        <v>11</v>
      </c>
    </row>
    <row r="263" spans="1:17">
      <c r="A263">
        <v>1262</v>
      </c>
      <c r="B263" t="s">
        <v>104</v>
      </c>
      <c r="C263" t="s">
        <v>18</v>
      </c>
      <c r="D263" t="s">
        <v>19</v>
      </c>
      <c r="E263" s="1">
        <v>45556</v>
      </c>
      <c r="F263">
        <v>94</v>
      </c>
      <c r="G263" t="s">
        <v>38</v>
      </c>
      <c r="H263">
        <v>4.4000000000000004</v>
      </c>
      <c r="I263">
        <v>493</v>
      </c>
      <c r="J263" t="s">
        <v>26</v>
      </c>
      <c r="K263" t="str">
        <f t="shared" si="28"/>
        <v>Good</v>
      </c>
      <c r="L263">
        <f t="shared" si="29"/>
        <v>493</v>
      </c>
      <c r="M263" t="str">
        <f t="shared" si="30"/>
        <v>Long</v>
      </c>
      <c r="N263" s="4" t="str">
        <f t="shared" si="31"/>
        <v>Pho</v>
      </c>
      <c r="O263" s="4" t="str">
        <f t="shared" si="32"/>
        <v>SUNDARBANS</v>
      </c>
      <c r="P263" s="4" t="str">
        <f t="shared" si="33"/>
        <v>Excellent Wildlife View</v>
      </c>
      <c r="Q263" s="4">
        <f t="shared" si="34"/>
        <v>11</v>
      </c>
    </row>
    <row r="264" spans="1:17">
      <c r="A264">
        <v>1263</v>
      </c>
      <c r="B264" t="s">
        <v>42</v>
      </c>
      <c r="C264" t="s">
        <v>41</v>
      </c>
      <c r="D264" t="s">
        <v>19</v>
      </c>
      <c r="E264" s="1">
        <v>45548</v>
      </c>
      <c r="F264">
        <v>187</v>
      </c>
      <c r="G264" t="s">
        <v>25</v>
      </c>
      <c r="H264">
        <v>3.7</v>
      </c>
      <c r="I264">
        <v>475</v>
      </c>
      <c r="J264" t="s">
        <v>35</v>
      </c>
      <c r="K264" t="str">
        <f t="shared" si="28"/>
        <v>Neutral</v>
      </c>
      <c r="L264">
        <f t="shared" si="29"/>
        <v>475</v>
      </c>
      <c r="M264" t="str">
        <f t="shared" si="30"/>
        <v>Very Long</v>
      </c>
      <c r="N264" s="4" t="str">
        <f t="shared" si="31"/>
        <v>Pho</v>
      </c>
      <c r="O264" s="4" t="str">
        <f t="shared" si="32"/>
        <v>JIM CORBETT</v>
      </c>
      <c r="P264" s="4" t="str">
        <f t="shared" si="33"/>
        <v>Very Enjoyable</v>
      </c>
      <c r="Q264" s="4">
        <f t="shared" si="34"/>
        <v>9</v>
      </c>
    </row>
    <row r="265" spans="1:17">
      <c r="A265">
        <v>1264</v>
      </c>
      <c r="B265" t="s">
        <v>84</v>
      </c>
      <c r="C265" t="s">
        <v>23</v>
      </c>
      <c r="D265" t="s">
        <v>24</v>
      </c>
      <c r="E265" s="1">
        <v>45342</v>
      </c>
      <c r="F265">
        <v>137</v>
      </c>
      <c r="G265" t="s">
        <v>20</v>
      </c>
      <c r="H265">
        <v>2.9</v>
      </c>
      <c r="I265">
        <v>491</v>
      </c>
      <c r="J265" t="s">
        <v>68</v>
      </c>
      <c r="K265" t="str">
        <f t="shared" si="28"/>
        <v>Bad</v>
      </c>
      <c r="L265">
        <f t="shared" si="29"/>
        <v>491</v>
      </c>
      <c r="M265" t="str">
        <f t="shared" si="30"/>
        <v>Long</v>
      </c>
      <c r="N265" s="4" t="str">
        <f t="shared" si="31"/>
        <v>Saf</v>
      </c>
      <c r="O265" s="4" t="str">
        <f t="shared" si="32"/>
        <v>BANDHAVGARH</v>
      </c>
      <c r="P265" s="4" t="str">
        <f t="shared" si="33"/>
        <v>Average Service</v>
      </c>
      <c r="Q265" s="4">
        <f t="shared" si="34"/>
        <v>12</v>
      </c>
    </row>
    <row r="266" spans="1:17">
      <c r="A266">
        <v>1265</v>
      </c>
      <c r="B266" t="s">
        <v>76</v>
      </c>
      <c r="C266" t="s">
        <v>34</v>
      </c>
      <c r="D266" t="s">
        <v>29</v>
      </c>
      <c r="E266" s="1">
        <v>45426</v>
      </c>
      <c r="F266">
        <v>137</v>
      </c>
      <c r="G266" t="s">
        <v>25</v>
      </c>
      <c r="H266">
        <v>2.6</v>
      </c>
      <c r="I266">
        <v>142</v>
      </c>
      <c r="J266" t="s">
        <v>26</v>
      </c>
      <c r="K266" t="str">
        <f t="shared" si="28"/>
        <v>Bad</v>
      </c>
      <c r="L266">
        <f t="shared" si="29"/>
        <v>142</v>
      </c>
      <c r="M266" t="str">
        <f t="shared" si="30"/>
        <v>Long</v>
      </c>
      <c r="N266" s="4" t="str">
        <f t="shared" si="31"/>
        <v>Hik</v>
      </c>
      <c r="O266" s="4" t="str">
        <f t="shared" si="32"/>
        <v>GIR</v>
      </c>
      <c r="P266" s="4" t="str">
        <f t="shared" si="33"/>
        <v>Excellent Wildlife View</v>
      </c>
      <c r="Q266" s="4">
        <f t="shared" si="34"/>
        <v>11</v>
      </c>
    </row>
    <row r="267" spans="1:17">
      <c r="A267">
        <v>1266</v>
      </c>
      <c r="B267" t="s">
        <v>110</v>
      </c>
      <c r="C267" t="s">
        <v>52</v>
      </c>
      <c r="D267" t="s">
        <v>19</v>
      </c>
      <c r="E267" s="1">
        <v>45464</v>
      </c>
      <c r="F267">
        <v>208</v>
      </c>
      <c r="G267" t="s">
        <v>25</v>
      </c>
      <c r="H267">
        <v>3.5</v>
      </c>
      <c r="I267">
        <v>444</v>
      </c>
      <c r="J267" t="s">
        <v>54</v>
      </c>
      <c r="K267" t="str">
        <f t="shared" si="28"/>
        <v>Neutral</v>
      </c>
      <c r="L267">
        <f t="shared" si="29"/>
        <v>444</v>
      </c>
      <c r="M267" t="str">
        <f t="shared" si="30"/>
        <v>Very Long</v>
      </c>
      <c r="N267" s="4" t="str">
        <f t="shared" si="31"/>
        <v>Pho</v>
      </c>
      <c r="O267" s="4" t="str">
        <f t="shared" si="32"/>
        <v>KAZIRANGA</v>
      </c>
      <c r="P267" s="4" t="str">
        <f t="shared" si="33"/>
        <v>Could Be Cleaner</v>
      </c>
      <c r="Q267" s="4">
        <f t="shared" si="34"/>
        <v>11</v>
      </c>
    </row>
    <row r="268" spans="1:17">
      <c r="A268">
        <v>1267</v>
      </c>
      <c r="B268" t="s">
        <v>44</v>
      </c>
      <c r="C268" t="s">
        <v>45</v>
      </c>
      <c r="D268" t="s">
        <v>29</v>
      </c>
      <c r="E268" s="1">
        <v>45552</v>
      </c>
      <c r="F268">
        <v>20</v>
      </c>
      <c r="G268" t="s">
        <v>38</v>
      </c>
      <c r="H268">
        <v>3.1</v>
      </c>
      <c r="I268">
        <v>230</v>
      </c>
      <c r="J268" t="s">
        <v>35</v>
      </c>
      <c r="K268" t="str">
        <f t="shared" si="28"/>
        <v>Neutral</v>
      </c>
      <c r="L268">
        <f t="shared" si="29"/>
        <v>230</v>
      </c>
      <c r="M268" t="str">
        <f t="shared" si="30"/>
        <v>Short</v>
      </c>
      <c r="N268" s="4" t="str">
        <f t="shared" si="31"/>
        <v>Hik</v>
      </c>
      <c r="O268" s="4" t="str">
        <f t="shared" si="32"/>
        <v>KANHA</v>
      </c>
      <c r="P268" s="4" t="str">
        <f t="shared" si="33"/>
        <v>Very Enjoyable</v>
      </c>
      <c r="Q268" s="4">
        <f t="shared" si="34"/>
        <v>11</v>
      </c>
    </row>
    <row r="269" spans="1:17">
      <c r="A269">
        <v>1268</v>
      </c>
      <c r="B269" t="s">
        <v>94</v>
      </c>
      <c r="C269" t="s">
        <v>41</v>
      </c>
      <c r="D269" t="s">
        <v>24</v>
      </c>
      <c r="E269" s="1">
        <v>45565</v>
      </c>
      <c r="F269">
        <v>219</v>
      </c>
      <c r="G269" t="s">
        <v>20</v>
      </c>
      <c r="H269">
        <v>3</v>
      </c>
      <c r="I269">
        <v>496</v>
      </c>
      <c r="J269" t="s">
        <v>30</v>
      </c>
      <c r="K269" t="str">
        <f t="shared" si="28"/>
        <v>Neutral</v>
      </c>
      <c r="L269">
        <f t="shared" si="29"/>
        <v>496</v>
      </c>
      <c r="M269" t="str">
        <f t="shared" si="30"/>
        <v>Very Long</v>
      </c>
      <c r="N269" s="4" t="str">
        <f t="shared" si="31"/>
        <v>Saf</v>
      </c>
      <c r="O269" s="4" t="str">
        <f t="shared" si="32"/>
        <v>JIM CORBETT</v>
      </c>
      <c r="P269" s="4" t="str">
        <f t="shared" si="33"/>
        <v>Good Guide Support</v>
      </c>
      <c r="Q269" s="4">
        <f t="shared" si="34"/>
        <v>9</v>
      </c>
    </row>
    <row r="270" spans="1:17">
      <c r="A270">
        <v>1269</v>
      </c>
      <c r="B270" t="s">
        <v>80</v>
      </c>
      <c r="C270" t="s">
        <v>52</v>
      </c>
      <c r="D270" t="s">
        <v>53</v>
      </c>
      <c r="E270" s="1">
        <v>45464</v>
      </c>
      <c r="F270">
        <v>72</v>
      </c>
      <c r="G270" t="s">
        <v>25</v>
      </c>
      <c r="H270">
        <v>3.5</v>
      </c>
      <c r="I270">
        <v>207</v>
      </c>
      <c r="J270" t="s">
        <v>66</v>
      </c>
      <c r="K270" t="str">
        <f t="shared" si="28"/>
        <v>Neutral</v>
      </c>
      <c r="L270">
        <f t="shared" si="29"/>
        <v>207</v>
      </c>
      <c r="M270" t="str">
        <f t="shared" si="30"/>
        <v>Medium</v>
      </c>
      <c r="N270" s="4" t="str">
        <f t="shared" si="31"/>
        <v>Boa</v>
      </c>
      <c r="O270" s="4" t="str">
        <f t="shared" si="32"/>
        <v>KAZIRANGA</v>
      </c>
      <c r="P270" s="4" t="str">
        <f t="shared" si="33"/>
        <v>Amazing Experience</v>
      </c>
      <c r="Q270" s="4">
        <f t="shared" si="34"/>
        <v>12</v>
      </c>
    </row>
    <row r="271" spans="1:17">
      <c r="A271">
        <v>1270</v>
      </c>
      <c r="B271" t="s">
        <v>61</v>
      </c>
      <c r="C271" t="s">
        <v>52</v>
      </c>
      <c r="D271" t="s">
        <v>24</v>
      </c>
      <c r="E271" s="1">
        <v>45544</v>
      </c>
      <c r="F271">
        <v>79</v>
      </c>
      <c r="G271" t="s">
        <v>38</v>
      </c>
      <c r="H271">
        <v>5</v>
      </c>
      <c r="I271">
        <v>267</v>
      </c>
      <c r="J271" t="s">
        <v>35</v>
      </c>
      <c r="K271" t="str">
        <f t="shared" si="28"/>
        <v>Good</v>
      </c>
      <c r="L271">
        <f t="shared" si="29"/>
        <v>267</v>
      </c>
      <c r="M271" t="str">
        <f t="shared" si="30"/>
        <v>Medium</v>
      </c>
      <c r="N271" s="4" t="str">
        <f t="shared" si="31"/>
        <v>Saf</v>
      </c>
      <c r="O271" s="4" t="str">
        <f t="shared" si="32"/>
        <v>KAZIRANGA</v>
      </c>
      <c r="P271" s="4" t="str">
        <f t="shared" si="33"/>
        <v>Very Enjoyable</v>
      </c>
      <c r="Q271" s="4">
        <f t="shared" si="34"/>
        <v>11</v>
      </c>
    </row>
    <row r="272" spans="1:17">
      <c r="A272">
        <v>1271</v>
      </c>
      <c r="B272" t="s">
        <v>59</v>
      </c>
      <c r="C272" t="s">
        <v>28</v>
      </c>
      <c r="D272" t="s">
        <v>48</v>
      </c>
      <c r="E272" s="1">
        <v>45484</v>
      </c>
      <c r="F272">
        <v>27</v>
      </c>
      <c r="G272" t="s">
        <v>25</v>
      </c>
      <c r="H272">
        <v>4.9000000000000004</v>
      </c>
      <c r="I272">
        <v>307</v>
      </c>
      <c r="J272" t="s">
        <v>54</v>
      </c>
      <c r="K272" t="str">
        <f t="shared" si="28"/>
        <v>Good</v>
      </c>
      <c r="L272">
        <f t="shared" si="29"/>
        <v>307</v>
      </c>
      <c r="M272" t="str">
        <f t="shared" si="30"/>
        <v>Short</v>
      </c>
      <c r="N272" s="4" t="str">
        <f t="shared" si="31"/>
        <v>Cam</v>
      </c>
      <c r="O272" s="4" t="str">
        <f t="shared" si="32"/>
        <v>PERIYAR</v>
      </c>
      <c r="P272" s="4" t="str">
        <f t="shared" si="33"/>
        <v>Could Be Cleaner</v>
      </c>
      <c r="Q272" s="4">
        <f t="shared" si="34"/>
        <v>11</v>
      </c>
    </row>
    <row r="273" spans="1:17">
      <c r="A273">
        <v>1272</v>
      </c>
      <c r="B273" t="s">
        <v>56</v>
      </c>
      <c r="C273" t="s">
        <v>34</v>
      </c>
      <c r="D273" t="s">
        <v>37</v>
      </c>
      <c r="E273" s="1">
        <v>45473</v>
      </c>
      <c r="F273">
        <v>101</v>
      </c>
      <c r="G273" t="s">
        <v>25</v>
      </c>
      <c r="H273">
        <v>3.4</v>
      </c>
      <c r="I273">
        <v>205</v>
      </c>
      <c r="J273" t="s">
        <v>50</v>
      </c>
      <c r="K273" t="str">
        <f t="shared" si="28"/>
        <v>Neutral</v>
      </c>
      <c r="L273">
        <f t="shared" si="29"/>
        <v>205</v>
      </c>
      <c r="M273" t="str">
        <f t="shared" si="30"/>
        <v>Long</v>
      </c>
      <c r="N273" s="4" t="str">
        <f t="shared" si="31"/>
        <v>Bir</v>
      </c>
      <c r="O273" s="4" t="str">
        <f t="shared" si="32"/>
        <v>GIR</v>
      </c>
      <c r="P273" s="4" t="str">
        <f t="shared" si="33"/>
        <v>Saw Rare Species</v>
      </c>
      <c r="Q273" s="4">
        <f t="shared" si="34"/>
        <v>12</v>
      </c>
    </row>
    <row r="274" spans="1:17">
      <c r="A274">
        <v>1273</v>
      </c>
      <c r="B274" t="s">
        <v>103</v>
      </c>
      <c r="C274" t="s">
        <v>34</v>
      </c>
      <c r="D274" t="s">
        <v>29</v>
      </c>
      <c r="E274" s="1">
        <v>45304</v>
      </c>
      <c r="F274">
        <v>62</v>
      </c>
      <c r="G274" t="s">
        <v>25</v>
      </c>
      <c r="H274">
        <v>2.9</v>
      </c>
      <c r="I274">
        <v>446</v>
      </c>
      <c r="J274" t="s">
        <v>54</v>
      </c>
      <c r="K274" t="str">
        <f t="shared" si="28"/>
        <v>Bad</v>
      </c>
      <c r="L274">
        <f t="shared" si="29"/>
        <v>446</v>
      </c>
      <c r="M274" t="str">
        <f t="shared" si="30"/>
        <v>Medium</v>
      </c>
      <c r="N274" s="4" t="str">
        <f t="shared" si="31"/>
        <v>Hik</v>
      </c>
      <c r="O274" s="4" t="str">
        <f t="shared" si="32"/>
        <v>GIR</v>
      </c>
      <c r="P274" s="4" t="str">
        <f t="shared" si="33"/>
        <v>Could Be Cleaner</v>
      </c>
      <c r="Q274" s="4">
        <f t="shared" si="34"/>
        <v>11</v>
      </c>
    </row>
    <row r="275" spans="1:17">
      <c r="A275">
        <v>1274</v>
      </c>
      <c r="B275" t="s">
        <v>138</v>
      </c>
      <c r="C275" t="s">
        <v>43</v>
      </c>
      <c r="D275" t="s">
        <v>37</v>
      </c>
      <c r="E275" s="1">
        <v>45422</v>
      </c>
      <c r="F275">
        <v>33</v>
      </c>
      <c r="G275" t="s">
        <v>46</v>
      </c>
      <c r="H275">
        <v>4.0999999999999996</v>
      </c>
      <c r="I275">
        <v>487</v>
      </c>
      <c r="J275" t="s">
        <v>66</v>
      </c>
      <c r="K275" t="str">
        <f t="shared" si="28"/>
        <v>Good</v>
      </c>
      <c r="L275">
        <f t="shared" si="29"/>
        <v>487</v>
      </c>
      <c r="M275" t="str">
        <f t="shared" si="30"/>
        <v>Medium</v>
      </c>
      <c r="N275" s="4" t="str">
        <f t="shared" si="31"/>
        <v>Bir</v>
      </c>
      <c r="O275" s="4" t="str">
        <f t="shared" si="32"/>
        <v>RANTHAMBORE</v>
      </c>
      <c r="P275" s="4" t="str">
        <f t="shared" si="33"/>
        <v>Amazing Experience</v>
      </c>
      <c r="Q275" s="4">
        <f t="shared" si="34"/>
        <v>11</v>
      </c>
    </row>
    <row r="276" spans="1:17">
      <c r="A276">
        <v>1275</v>
      </c>
      <c r="B276" t="s">
        <v>62</v>
      </c>
      <c r="C276" t="s">
        <v>45</v>
      </c>
      <c r="D276" t="s">
        <v>19</v>
      </c>
      <c r="E276" s="1">
        <v>45543</v>
      </c>
      <c r="F276">
        <v>156</v>
      </c>
      <c r="G276" t="s">
        <v>38</v>
      </c>
      <c r="H276">
        <v>3.8</v>
      </c>
      <c r="I276">
        <v>397</v>
      </c>
      <c r="J276" t="s">
        <v>30</v>
      </c>
      <c r="K276" t="str">
        <f t="shared" si="28"/>
        <v>Neutral</v>
      </c>
      <c r="L276">
        <f t="shared" si="29"/>
        <v>397</v>
      </c>
      <c r="M276" t="str">
        <f t="shared" si="30"/>
        <v>Long</v>
      </c>
      <c r="N276" s="4" t="str">
        <f t="shared" si="31"/>
        <v>Pho</v>
      </c>
      <c r="O276" s="4" t="str">
        <f t="shared" si="32"/>
        <v>KANHA</v>
      </c>
      <c r="P276" s="4" t="str">
        <f t="shared" si="33"/>
        <v>Good Guide Support</v>
      </c>
      <c r="Q276" s="4">
        <f t="shared" si="34"/>
        <v>10</v>
      </c>
    </row>
    <row r="277" spans="1:17">
      <c r="A277">
        <v>1276</v>
      </c>
      <c r="B277" t="s">
        <v>127</v>
      </c>
      <c r="C277" t="s">
        <v>23</v>
      </c>
      <c r="D277" t="s">
        <v>37</v>
      </c>
      <c r="E277" s="1">
        <v>45579</v>
      </c>
      <c r="F277">
        <v>235</v>
      </c>
      <c r="G277" t="s">
        <v>46</v>
      </c>
      <c r="H277">
        <v>3</v>
      </c>
      <c r="I277">
        <v>272</v>
      </c>
      <c r="J277" t="s">
        <v>21</v>
      </c>
      <c r="K277" t="str">
        <f t="shared" si="28"/>
        <v>Neutral</v>
      </c>
      <c r="L277">
        <f t="shared" si="29"/>
        <v>272</v>
      </c>
      <c r="M277" t="str">
        <f t="shared" si="30"/>
        <v>Very Long</v>
      </c>
      <c r="N277" s="4" t="str">
        <f t="shared" si="31"/>
        <v>Bir</v>
      </c>
      <c r="O277" s="4" t="str">
        <f t="shared" si="32"/>
        <v>BANDHAVGARH</v>
      </c>
      <c r="P277" s="4" t="str">
        <f t="shared" si="33"/>
        <v>Too Crowded</v>
      </c>
      <c r="Q277" s="4">
        <f t="shared" si="34"/>
        <v>10</v>
      </c>
    </row>
    <row r="278" spans="1:17">
      <c r="A278">
        <v>1277</v>
      </c>
      <c r="B278" t="s">
        <v>78</v>
      </c>
      <c r="C278" t="s">
        <v>52</v>
      </c>
      <c r="D278" t="s">
        <v>53</v>
      </c>
      <c r="E278" s="1">
        <v>45363</v>
      </c>
      <c r="F278">
        <v>87</v>
      </c>
      <c r="G278" t="s">
        <v>38</v>
      </c>
      <c r="H278">
        <v>4.2</v>
      </c>
      <c r="I278">
        <v>480</v>
      </c>
      <c r="J278" t="s">
        <v>30</v>
      </c>
      <c r="K278" t="str">
        <f t="shared" si="28"/>
        <v>Good</v>
      </c>
      <c r="L278">
        <f t="shared" si="29"/>
        <v>480</v>
      </c>
      <c r="M278" t="str">
        <f t="shared" si="30"/>
        <v>Medium</v>
      </c>
      <c r="N278" s="4" t="str">
        <f t="shared" si="31"/>
        <v>Boa</v>
      </c>
      <c r="O278" s="4" t="str">
        <f t="shared" si="32"/>
        <v>KAZIRANGA</v>
      </c>
      <c r="P278" s="4" t="str">
        <f t="shared" si="33"/>
        <v>Good Guide Support</v>
      </c>
      <c r="Q278" s="4">
        <f t="shared" si="34"/>
        <v>10</v>
      </c>
    </row>
    <row r="279" spans="1:17">
      <c r="A279">
        <v>1278</v>
      </c>
      <c r="B279" t="s">
        <v>83</v>
      </c>
      <c r="C279" t="s">
        <v>45</v>
      </c>
      <c r="D279" t="s">
        <v>48</v>
      </c>
      <c r="E279" s="1">
        <v>45396</v>
      </c>
      <c r="F279">
        <v>65</v>
      </c>
      <c r="G279" t="s">
        <v>46</v>
      </c>
      <c r="H279">
        <v>2.6</v>
      </c>
      <c r="I279">
        <v>220</v>
      </c>
      <c r="J279" t="s">
        <v>21</v>
      </c>
      <c r="K279" t="str">
        <f t="shared" si="28"/>
        <v>Bad</v>
      </c>
      <c r="L279">
        <f t="shared" si="29"/>
        <v>220</v>
      </c>
      <c r="M279" t="str">
        <f t="shared" si="30"/>
        <v>Medium</v>
      </c>
      <c r="N279" s="4" t="str">
        <f t="shared" si="31"/>
        <v>Cam</v>
      </c>
      <c r="O279" s="4" t="str">
        <f t="shared" si="32"/>
        <v>KANHA</v>
      </c>
      <c r="P279" s="4" t="str">
        <f t="shared" si="33"/>
        <v>Too Crowded</v>
      </c>
      <c r="Q279" s="4">
        <f t="shared" si="34"/>
        <v>11</v>
      </c>
    </row>
    <row r="280" spans="1:17">
      <c r="A280">
        <v>1279</v>
      </c>
      <c r="B280" t="s">
        <v>98</v>
      </c>
      <c r="C280" t="s">
        <v>43</v>
      </c>
      <c r="D280" t="s">
        <v>48</v>
      </c>
      <c r="E280" s="1">
        <v>45412</v>
      </c>
      <c r="F280">
        <v>29</v>
      </c>
      <c r="G280" t="s">
        <v>46</v>
      </c>
      <c r="H280">
        <v>4.9000000000000004</v>
      </c>
      <c r="I280">
        <v>339</v>
      </c>
      <c r="J280" t="s">
        <v>54</v>
      </c>
      <c r="K280" t="str">
        <f t="shared" si="28"/>
        <v>Good</v>
      </c>
      <c r="L280">
        <f t="shared" si="29"/>
        <v>339</v>
      </c>
      <c r="M280" t="str">
        <f t="shared" si="30"/>
        <v>Short</v>
      </c>
      <c r="N280" s="4" t="str">
        <f t="shared" si="31"/>
        <v>Cam</v>
      </c>
      <c r="O280" s="4" t="str">
        <f t="shared" si="32"/>
        <v>RANTHAMBORE</v>
      </c>
      <c r="P280" s="4" t="str">
        <f t="shared" si="33"/>
        <v>Could Be Cleaner</v>
      </c>
      <c r="Q280" s="4">
        <f t="shared" si="34"/>
        <v>11</v>
      </c>
    </row>
    <row r="281" spans="1:17">
      <c r="A281">
        <v>1280</v>
      </c>
      <c r="B281" t="s">
        <v>85</v>
      </c>
      <c r="C281" t="s">
        <v>41</v>
      </c>
      <c r="D281" t="s">
        <v>24</v>
      </c>
      <c r="E281" s="1">
        <v>45413</v>
      </c>
      <c r="F281">
        <v>33</v>
      </c>
      <c r="G281" t="s">
        <v>38</v>
      </c>
      <c r="H281">
        <v>3.8</v>
      </c>
      <c r="I281">
        <v>167</v>
      </c>
      <c r="J281" t="s">
        <v>54</v>
      </c>
      <c r="K281" t="str">
        <f t="shared" si="28"/>
        <v>Neutral</v>
      </c>
      <c r="L281">
        <f t="shared" si="29"/>
        <v>167</v>
      </c>
      <c r="M281" t="str">
        <f t="shared" si="30"/>
        <v>Medium</v>
      </c>
      <c r="N281" s="4" t="str">
        <f t="shared" si="31"/>
        <v>Saf</v>
      </c>
      <c r="O281" s="4" t="str">
        <f t="shared" si="32"/>
        <v>JIM CORBETT</v>
      </c>
      <c r="P281" s="4" t="str">
        <f t="shared" si="33"/>
        <v>Could Be Cleaner</v>
      </c>
      <c r="Q281" s="4">
        <f t="shared" si="34"/>
        <v>9</v>
      </c>
    </row>
    <row r="282" spans="1:17">
      <c r="A282">
        <v>1281</v>
      </c>
      <c r="B282" t="s">
        <v>88</v>
      </c>
      <c r="C282" t="s">
        <v>34</v>
      </c>
      <c r="D282" t="s">
        <v>19</v>
      </c>
      <c r="E282" s="1">
        <v>45475</v>
      </c>
      <c r="F282">
        <v>240</v>
      </c>
      <c r="G282" t="s">
        <v>25</v>
      </c>
      <c r="H282">
        <v>3.9</v>
      </c>
      <c r="I282">
        <v>256</v>
      </c>
      <c r="J282" t="s">
        <v>30</v>
      </c>
      <c r="K282" t="str">
        <f t="shared" si="28"/>
        <v>Neutral</v>
      </c>
      <c r="L282">
        <f t="shared" si="29"/>
        <v>256</v>
      </c>
      <c r="M282" t="str">
        <f t="shared" si="30"/>
        <v>Very Long</v>
      </c>
      <c r="N282" s="4" t="str">
        <f t="shared" si="31"/>
        <v>Pho</v>
      </c>
      <c r="O282" s="4" t="str">
        <f t="shared" si="32"/>
        <v>GIR</v>
      </c>
      <c r="P282" s="4" t="str">
        <f t="shared" si="33"/>
        <v>Good Guide Support</v>
      </c>
      <c r="Q282" s="4">
        <f t="shared" si="34"/>
        <v>13</v>
      </c>
    </row>
    <row r="283" spans="1:17">
      <c r="A283">
        <v>1282</v>
      </c>
      <c r="B283" t="s">
        <v>86</v>
      </c>
      <c r="C283" t="s">
        <v>52</v>
      </c>
      <c r="D283" t="s">
        <v>19</v>
      </c>
      <c r="E283" s="1">
        <v>45422</v>
      </c>
      <c r="F283">
        <v>37</v>
      </c>
      <c r="G283" t="s">
        <v>25</v>
      </c>
      <c r="H283">
        <v>4.2</v>
      </c>
      <c r="I283">
        <v>218</v>
      </c>
      <c r="J283" t="s">
        <v>30</v>
      </c>
      <c r="K283" t="str">
        <f t="shared" si="28"/>
        <v>Good</v>
      </c>
      <c r="L283">
        <f t="shared" si="29"/>
        <v>218</v>
      </c>
      <c r="M283" t="str">
        <f t="shared" si="30"/>
        <v>Medium</v>
      </c>
      <c r="N283" s="4" t="str">
        <f t="shared" si="31"/>
        <v>Pho</v>
      </c>
      <c r="O283" s="4" t="str">
        <f t="shared" si="32"/>
        <v>KAZIRANGA</v>
      </c>
      <c r="P283" s="4" t="str">
        <f t="shared" si="33"/>
        <v>Good Guide Support</v>
      </c>
      <c r="Q283" s="4">
        <f t="shared" si="34"/>
        <v>10</v>
      </c>
    </row>
    <row r="284" spans="1:17">
      <c r="A284">
        <v>1283</v>
      </c>
      <c r="B284" t="s">
        <v>122</v>
      </c>
      <c r="C284" t="s">
        <v>23</v>
      </c>
      <c r="D284" t="s">
        <v>19</v>
      </c>
      <c r="E284" s="1">
        <v>45583</v>
      </c>
      <c r="F284">
        <v>155</v>
      </c>
      <c r="G284" t="s">
        <v>25</v>
      </c>
      <c r="H284">
        <v>5</v>
      </c>
      <c r="I284">
        <v>118</v>
      </c>
      <c r="J284" t="s">
        <v>26</v>
      </c>
      <c r="K284" t="str">
        <f t="shared" si="28"/>
        <v>Good</v>
      </c>
      <c r="L284">
        <f t="shared" si="29"/>
        <v>118</v>
      </c>
      <c r="M284" t="str">
        <f t="shared" si="30"/>
        <v>Long</v>
      </c>
      <c r="N284" s="4" t="str">
        <f t="shared" si="31"/>
        <v>Pho</v>
      </c>
      <c r="O284" s="4" t="str">
        <f t="shared" si="32"/>
        <v>BANDHAVGARH</v>
      </c>
      <c r="P284" s="4" t="str">
        <f t="shared" si="33"/>
        <v>Excellent Wildlife View</v>
      </c>
      <c r="Q284" s="4">
        <f t="shared" si="34"/>
        <v>12</v>
      </c>
    </row>
    <row r="285" spans="1:17">
      <c r="A285">
        <v>1284</v>
      </c>
      <c r="B285" t="s">
        <v>100</v>
      </c>
      <c r="C285" t="s">
        <v>45</v>
      </c>
      <c r="D285" t="s">
        <v>53</v>
      </c>
      <c r="E285" s="1">
        <v>45579</v>
      </c>
      <c r="F285">
        <v>223</v>
      </c>
      <c r="G285" t="s">
        <v>38</v>
      </c>
      <c r="H285">
        <v>2.8</v>
      </c>
      <c r="I285">
        <v>399</v>
      </c>
      <c r="J285" t="s">
        <v>66</v>
      </c>
      <c r="K285" t="str">
        <f t="shared" si="28"/>
        <v>Bad</v>
      </c>
      <c r="L285">
        <f t="shared" si="29"/>
        <v>399</v>
      </c>
      <c r="M285" t="str">
        <f t="shared" si="30"/>
        <v>Very Long</v>
      </c>
      <c r="N285" s="4" t="str">
        <f t="shared" si="31"/>
        <v>Boa</v>
      </c>
      <c r="O285" s="4" t="str">
        <f t="shared" si="32"/>
        <v>KANHA</v>
      </c>
      <c r="P285" s="4" t="str">
        <f t="shared" si="33"/>
        <v>Amazing Experience</v>
      </c>
      <c r="Q285" s="4">
        <f t="shared" si="34"/>
        <v>11</v>
      </c>
    </row>
    <row r="286" spans="1:17">
      <c r="A286">
        <v>1285</v>
      </c>
      <c r="B286" t="s">
        <v>106</v>
      </c>
      <c r="C286" t="s">
        <v>52</v>
      </c>
      <c r="D286" t="s">
        <v>53</v>
      </c>
      <c r="E286" s="1">
        <v>45505</v>
      </c>
      <c r="F286">
        <v>34</v>
      </c>
      <c r="G286" t="s">
        <v>20</v>
      </c>
      <c r="H286">
        <v>4.7</v>
      </c>
      <c r="I286">
        <v>193</v>
      </c>
      <c r="J286" t="s">
        <v>21</v>
      </c>
      <c r="K286" t="str">
        <f t="shared" si="28"/>
        <v>Good</v>
      </c>
      <c r="L286">
        <f t="shared" si="29"/>
        <v>193</v>
      </c>
      <c r="M286" t="str">
        <f t="shared" si="30"/>
        <v>Medium</v>
      </c>
      <c r="N286" s="4" t="str">
        <f t="shared" si="31"/>
        <v>Boa</v>
      </c>
      <c r="O286" s="4" t="str">
        <f t="shared" si="32"/>
        <v>KAZIRANGA</v>
      </c>
      <c r="P286" s="4" t="str">
        <f t="shared" si="33"/>
        <v>Too Crowded</v>
      </c>
      <c r="Q286" s="4">
        <f t="shared" si="34"/>
        <v>12</v>
      </c>
    </row>
    <row r="287" spans="1:17">
      <c r="A287">
        <v>1286</v>
      </c>
      <c r="B287" t="s">
        <v>137</v>
      </c>
      <c r="C287" t="s">
        <v>34</v>
      </c>
      <c r="D287" t="s">
        <v>53</v>
      </c>
      <c r="E287" s="1">
        <v>45315</v>
      </c>
      <c r="F287">
        <v>34</v>
      </c>
      <c r="G287" t="s">
        <v>25</v>
      </c>
      <c r="H287">
        <v>3.7</v>
      </c>
      <c r="I287">
        <v>274</v>
      </c>
      <c r="J287" t="s">
        <v>26</v>
      </c>
      <c r="K287" t="str">
        <f t="shared" si="28"/>
        <v>Neutral</v>
      </c>
      <c r="L287">
        <f t="shared" si="29"/>
        <v>274</v>
      </c>
      <c r="M287" t="str">
        <f t="shared" si="30"/>
        <v>Medium</v>
      </c>
      <c r="N287" s="4" t="str">
        <f t="shared" si="31"/>
        <v>Boa</v>
      </c>
      <c r="O287" s="4" t="str">
        <f t="shared" si="32"/>
        <v>GIR</v>
      </c>
      <c r="P287" s="4" t="str">
        <f t="shared" si="33"/>
        <v>Excellent Wildlife View</v>
      </c>
      <c r="Q287" s="4">
        <f t="shared" si="34"/>
        <v>11</v>
      </c>
    </row>
    <row r="288" spans="1:17">
      <c r="A288">
        <v>1287</v>
      </c>
      <c r="B288" t="s">
        <v>115</v>
      </c>
      <c r="C288" t="s">
        <v>34</v>
      </c>
      <c r="D288" t="s">
        <v>48</v>
      </c>
      <c r="E288" s="1">
        <v>45574</v>
      </c>
      <c r="F288">
        <v>227</v>
      </c>
      <c r="G288" t="s">
        <v>20</v>
      </c>
      <c r="H288">
        <v>4.0999999999999996</v>
      </c>
      <c r="I288">
        <v>270</v>
      </c>
      <c r="J288" t="s">
        <v>54</v>
      </c>
      <c r="K288" t="str">
        <f t="shared" si="28"/>
        <v>Good</v>
      </c>
      <c r="L288">
        <f t="shared" si="29"/>
        <v>270</v>
      </c>
      <c r="M288" t="str">
        <f t="shared" si="30"/>
        <v>Very Long</v>
      </c>
      <c r="N288" s="4" t="str">
        <f t="shared" si="31"/>
        <v>Cam</v>
      </c>
      <c r="O288" s="4" t="str">
        <f t="shared" si="32"/>
        <v>GIR</v>
      </c>
      <c r="P288" s="4" t="str">
        <f t="shared" si="33"/>
        <v>Could Be Cleaner</v>
      </c>
      <c r="Q288" s="4">
        <f t="shared" si="34"/>
        <v>10</v>
      </c>
    </row>
    <row r="289" spans="1:17">
      <c r="A289">
        <v>1288</v>
      </c>
      <c r="B289" t="s">
        <v>120</v>
      </c>
      <c r="C289" t="s">
        <v>18</v>
      </c>
      <c r="D289" t="s">
        <v>19</v>
      </c>
      <c r="E289" s="1">
        <v>45419</v>
      </c>
      <c r="F289">
        <v>166</v>
      </c>
      <c r="G289" t="s">
        <v>38</v>
      </c>
      <c r="H289">
        <v>3.3</v>
      </c>
      <c r="I289">
        <v>212</v>
      </c>
      <c r="J289" t="s">
        <v>54</v>
      </c>
      <c r="K289" t="str">
        <f t="shared" si="28"/>
        <v>Neutral</v>
      </c>
      <c r="L289">
        <f t="shared" si="29"/>
        <v>212</v>
      </c>
      <c r="M289" t="str">
        <f t="shared" si="30"/>
        <v>Long</v>
      </c>
      <c r="N289" s="4" t="str">
        <f t="shared" si="31"/>
        <v>Pho</v>
      </c>
      <c r="O289" s="4" t="str">
        <f t="shared" si="32"/>
        <v>SUNDARBANS</v>
      </c>
      <c r="P289" s="4" t="str">
        <f t="shared" si="33"/>
        <v>Could Be Cleaner</v>
      </c>
      <c r="Q289" s="4">
        <f t="shared" si="34"/>
        <v>12</v>
      </c>
    </row>
    <row r="290" spans="1:17">
      <c r="A290">
        <v>1289</v>
      </c>
      <c r="B290" t="s">
        <v>131</v>
      </c>
      <c r="C290" t="s">
        <v>43</v>
      </c>
      <c r="D290" t="s">
        <v>19</v>
      </c>
      <c r="E290" s="1">
        <v>45496</v>
      </c>
      <c r="F290">
        <v>198</v>
      </c>
      <c r="G290" t="s">
        <v>46</v>
      </c>
      <c r="H290">
        <v>4.0999999999999996</v>
      </c>
      <c r="I290">
        <v>206</v>
      </c>
      <c r="J290" t="s">
        <v>68</v>
      </c>
      <c r="K290" t="str">
        <f t="shared" si="28"/>
        <v>Good</v>
      </c>
      <c r="L290">
        <f t="shared" si="29"/>
        <v>206</v>
      </c>
      <c r="M290" t="str">
        <f t="shared" si="30"/>
        <v>Very Long</v>
      </c>
      <c r="N290" s="4" t="str">
        <f t="shared" si="31"/>
        <v>Pho</v>
      </c>
      <c r="O290" s="4" t="str">
        <f t="shared" si="32"/>
        <v>RANTHAMBORE</v>
      </c>
      <c r="P290" s="4" t="str">
        <f t="shared" si="33"/>
        <v>Average Service</v>
      </c>
      <c r="Q290" s="4">
        <f t="shared" si="34"/>
        <v>11</v>
      </c>
    </row>
    <row r="291" spans="1:17">
      <c r="A291">
        <v>1290</v>
      </c>
      <c r="B291" t="s">
        <v>22</v>
      </c>
      <c r="C291" t="s">
        <v>18</v>
      </c>
      <c r="D291" t="s">
        <v>37</v>
      </c>
      <c r="E291" s="1">
        <v>45646</v>
      </c>
      <c r="F291">
        <v>85</v>
      </c>
      <c r="G291" t="s">
        <v>20</v>
      </c>
      <c r="H291">
        <v>3</v>
      </c>
      <c r="I291">
        <v>124</v>
      </c>
      <c r="J291" t="s">
        <v>35</v>
      </c>
      <c r="K291" t="str">
        <f t="shared" si="28"/>
        <v>Neutral</v>
      </c>
      <c r="L291">
        <f t="shared" si="29"/>
        <v>124</v>
      </c>
      <c r="M291" t="str">
        <f t="shared" si="30"/>
        <v>Medium</v>
      </c>
      <c r="N291" s="4" t="str">
        <f t="shared" si="31"/>
        <v>Bir</v>
      </c>
      <c r="O291" s="4" t="str">
        <f t="shared" si="32"/>
        <v>SUNDARBANS</v>
      </c>
      <c r="P291" s="4" t="str">
        <f t="shared" si="33"/>
        <v>Very Enjoyable</v>
      </c>
      <c r="Q291" s="4">
        <f t="shared" si="34"/>
        <v>11</v>
      </c>
    </row>
    <row r="292" spans="1:17">
      <c r="A292">
        <v>1291</v>
      </c>
      <c r="B292" t="s">
        <v>89</v>
      </c>
      <c r="C292" t="s">
        <v>45</v>
      </c>
      <c r="D292" t="s">
        <v>53</v>
      </c>
      <c r="E292" s="1">
        <v>45444</v>
      </c>
      <c r="F292">
        <v>135</v>
      </c>
      <c r="G292" t="s">
        <v>25</v>
      </c>
      <c r="H292">
        <v>4.2</v>
      </c>
      <c r="I292">
        <v>315</v>
      </c>
      <c r="J292" t="s">
        <v>30</v>
      </c>
      <c r="K292" t="str">
        <f t="shared" si="28"/>
        <v>Good</v>
      </c>
      <c r="L292">
        <f t="shared" si="29"/>
        <v>315</v>
      </c>
      <c r="M292" t="str">
        <f t="shared" si="30"/>
        <v>Long</v>
      </c>
      <c r="N292" s="4" t="str">
        <f t="shared" si="31"/>
        <v>Boa</v>
      </c>
      <c r="O292" s="4" t="str">
        <f t="shared" si="32"/>
        <v>KANHA</v>
      </c>
      <c r="P292" s="4" t="str">
        <f t="shared" si="33"/>
        <v>Good Guide Support</v>
      </c>
      <c r="Q292" s="4">
        <f t="shared" si="34"/>
        <v>11</v>
      </c>
    </row>
    <row r="293" spans="1:17">
      <c r="A293">
        <v>1292</v>
      </c>
      <c r="B293" t="s">
        <v>113</v>
      </c>
      <c r="C293" t="s">
        <v>52</v>
      </c>
      <c r="D293" t="s">
        <v>53</v>
      </c>
      <c r="E293" s="1">
        <v>45636</v>
      </c>
      <c r="F293">
        <v>169</v>
      </c>
      <c r="G293" t="s">
        <v>38</v>
      </c>
      <c r="H293">
        <v>2.6</v>
      </c>
      <c r="I293">
        <v>216</v>
      </c>
      <c r="J293" t="s">
        <v>73</v>
      </c>
      <c r="K293" t="str">
        <f t="shared" si="28"/>
        <v>Bad</v>
      </c>
      <c r="L293">
        <f t="shared" si="29"/>
        <v>216</v>
      </c>
      <c r="M293" t="str">
        <f t="shared" si="30"/>
        <v>Long</v>
      </c>
      <c r="N293" s="4" t="str">
        <f t="shared" si="31"/>
        <v>Boa</v>
      </c>
      <c r="O293" s="4" t="str">
        <f t="shared" si="32"/>
        <v>KAZIRANGA</v>
      </c>
      <c r="P293" s="4" t="str">
        <f t="shared" si="33"/>
        <v>Peaceful Environment</v>
      </c>
      <c r="Q293" s="4">
        <f t="shared" si="34"/>
        <v>11</v>
      </c>
    </row>
    <row r="294" spans="1:17">
      <c r="A294">
        <v>1293</v>
      </c>
      <c r="B294" t="s">
        <v>121</v>
      </c>
      <c r="C294" t="s">
        <v>41</v>
      </c>
      <c r="D294" t="s">
        <v>53</v>
      </c>
      <c r="E294" s="1">
        <v>45318</v>
      </c>
      <c r="F294">
        <v>122</v>
      </c>
      <c r="G294" t="s">
        <v>38</v>
      </c>
      <c r="H294">
        <v>3.1</v>
      </c>
      <c r="I294">
        <v>219</v>
      </c>
      <c r="J294" t="s">
        <v>66</v>
      </c>
      <c r="K294" t="str">
        <f t="shared" si="28"/>
        <v>Neutral</v>
      </c>
      <c r="L294">
        <f t="shared" si="29"/>
        <v>219</v>
      </c>
      <c r="M294" t="str">
        <f t="shared" si="30"/>
        <v>Long</v>
      </c>
      <c r="N294" s="4" t="str">
        <f t="shared" si="31"/>
        <v>Boa</v>
      </c>
      <c r="O294" s="4" t="str">
        <f t="shared" si="32"/>
        <v>JIM CORBETT</v>
      </c>
      <c r="P294" s="4" t="str">
        <f t="shared" si="33"/>
        <v>Amazing Experience</v>
      </c>
      <c r="Q294" s="4">
        <f t="shared" si="34"/>
        <v>10</v>
      </c>
    </row>
    <row r="295" spans="1:17">
      <c r="A295">
        <v>1294</v>
      </c>
      <c r="B295" t="s">
        <v>56</v>
      </c>
      <c r="C295" t="s">
        <v>34</v>
      </c>
      <c r="D295" t="s">
        <v>37</v>
      </c>
      <c r="E295" s="1">
        <v>45451</v>
      </c>
      <c r="F295">
        <v>67</v>
      </c>
      <c r="G295" t="s">
        <v>46</v>
      </c>
      <c r="H295">
        <v>2.7</v>
      </c>
      <c r="I295">
        <v>378</v>
      </c>
      <c r="J295" t="s">
        <v>35</v>
      </c>
      <c r="K295" t="str">
        <f t="shared" si="28"/>
        <v>Bad</v>
      </c>
      <c r="L295">
        <f t="shared" si="29"/>
        <v>378</v>
      </c>
      <c r="M295" t="str">
        <f t="shared" si="30"/>
        <v>Medium</v>
      </c>
      <c r="N295" s="4" t="str">
        <f t="shared" si="31"/>
        <v>Bir</v>
      </c>
      <c r="O295" s="4" t="str">
        <f t="shared" si="32"/>
        <v>GIR</v>
      </c>
      <c r="P295" s="4" t="str">
        <f t="shared" si="33"/>
        <v>Very Enjoyable</v>
      </c>
      <c r="Q295" s="4">
        <f t="shared" si="34"/>
        <v>12</v>
      </c>
    </row>
    <row r="296" spans="1:17">
      <c r="A296">
        <v>1295</v>
      </c>
      <c r="B296" t="s">
        <v>139</v>
      </c>
      <c r="C296" t="s">
        <v>45</v>
      </c>
      <c r="D296" t="s">
        <v>48</v>
      </c>
      <c r="E296" s="1">
        <v>45618</v>
      </c>
      <c r="F296">
        <v>216</v>
      </c>
      <c r="G296" t="s">
        <v>25</v>
      </c>
      <c r="H296">
        <v>4.9000000000000004</v>
      </c>
      <c r="I296">
        <v>281</v>
      </c>
      <c r="J296" t="s">
        <v>54</v>
      </c>
      <c r="K296" t="str">
        <f t="shared" si="28"/>
        <v>Good</v>
      </c>
      <c r="L296">
        <f t="shared" si="29"/>
        <v>281</v>
      </c>
      <c r="M296" t="str">
        <f t="shared" si="30"/>
        <v>Very Long</v>
      </c>
      <c r="N296" s="4" t="str">
        <f t="shared" si="31"/>
        <v>Cam</v>
      </c>
      <c r="O296" s="4" t="str">
        <f t="shared" si="32"/>
        <v>KANHA</v>
      </c>
      <c r="P296" s="4" t="str">
        <f t="shared" si="33"/>
        <v>Could Be Cleaner</v>
      </c>
      <c r="Q296" s="4">
        <f t="shared" si="34"/>
        <v>9</v>
      </c>
    </row>
    <row r="297" spans="1:17">
      <c r="A297">
        <v>1296</v>
      </c>
      <c r="B297" t="s">
        <v>74</v>
      </c>
      <c r="C297" t="s">
        <v>23</v>
      </c>
      <c r="D297" t="s">
        <v>37</v>
      </c>
      <c r="E297" s="1">
        <v>45535</v>
      </c>
      <c r="F297">
        <v>54</v>
      </c>
      <c r="G297" t="s">
        <v>20</v>
      </c>
      <c r="H297">
        <v>2.6</v>
      </c>
      <c r="I297">
        <v>341</v>
      </c>
      <c r="J297" t="s">
        <v>66</v>
      </c>
      <c r="K297" t="str">
        <f t="shared" si="28"/>
        <v>Bad</v>
      </c>
      <c r="L297">
        <f t="shared" si="29"/>
        <v>341</v>
      </c>
      <c r="M297" t="str">
        <f t="shared" si="30"/>
        <v>Medium</v>
      </c>
      <c r="N297" s="4" t="str">
        <f t="shared" si="31"/>
        <v>Bir</v>
      </c>
      <c r="O297" s="4" t="str">
        <f t="shared" si="32"/>
        <v>BANDHAVGARH</v>
      </c>
      <c r="P297" s="4" t="str">
        <f t="shared" si="33"/>
        <v>Amazing Experience</v>
      </c>
      <c r="Q297" s="4">
        <f t="shared" si="34"/>
        <v>10</v>
      </c>
    </row>
    <row r="298" spans="1:17">
      <c r="A298">
        <v>1297</v>
      </c>
      <c r="B298" t="s">
        <v>116</v>
      </c>
      <c r="C298" t="s">
        <v>28</v>
      </c>
      <c r="D298" t="s">
        <v>48</v>
      </c>
      <c r="E298" s="1">
        <v>45370</v>
      </c>
      <c r="F298">
        <v>65</v>
      </c>
      <c r="G298" t="s">
        <v>38</v>
      </c>
      <c r="H298">
        <v>3.7</v>
      </c>
      <c r="I298">
        <v>166</v>
      </c>
      <c r="J298" t="s">
        <v>21</v>
      </c>
      <c r="K298" t="str">
        <f t="shared" si="28"/>
        <v>Neutral</v>
      </c>
      <c r="L298">
        <f t="shared" si="29"/>
        <v>166</v>
      </c>
      <c r="M298" t="str">
        <f t="shared" si="30"/>
        <v>Medium</v>
      </c>
      <c r="N298" s="4" t="str">
        <f t="shared" si="31"/>
        <v>Cam</v>
      </c>
      <c r="O298" s="4" t="str">
        <f t="shared" si="32"/>
        <v>PERIYAR</v>
      </c>
      <c r="P298" s="4" t="str">
        <f t="shared" si="33"/>
        <v>Too Crowded</v>
      </c>
      <c r="Q298" s="4">
        <f t="shared" si="34"/>
        <v>11</v>
      </c>
    </row>
    <row r="299" spans="1:17">
      <c r="A299">
        <v>1298</v>
      </c>
      <c r="B299" t="s">
        <v>110</v>
      </c>
      <c r="C299" t="s">
        <v>23</v>
      </c>
      <c r="D299" t="s">
        <v>24</v>
      </c>
      <c r="E299" s="1">
        <v>45634</v>
      </c>
      <c r="F299">
        <v>83</v>
      </c>
      <c r="G299" t="s">
        <v>46</v>
      </c>
      <c r="H299">
        <v>3</v>
      </c>
      <c r="I299">
        <v>388</v>
      </c>
      <c r="J299" t="s">
        <v>54</v>
      </c>
      <c r="K299" t="str">
        <f t="shared" si="28"/>
        <v>Neutral</v>
      </c>
      <c r="L299">
        <f t="shared" si="29"/>
        <v>388</v>
      </c>
      <c r="M299" t="str">
        <f t="shared" si="30"/>
        <v>Medium</v>
      </c>
      <c r="N299" s="4" t="str">
        <f t="shared" si="31"/>
        <v>Saf</v>
      </c>
      <c r="O299" s="4" t="str">
        <f t="shared" si="32"/>
        <v>BANDHAVGARH</v>
      </c>
      <c r="P299" s="4" t="str">
        <f t="shared" si="33"/>
        <v>Could Be Cleaner</v>
      </c>
      <c r="Q299" s="4">
        <f t="shared" si="34"/>
        <v>11</v>
      </c>
    </row>
    <row r="300" spans="1:17">
      <c r="A300">
        <v>1299</v>
      </c>
      <c r="B300" t="s">
        <v>118</v>
      </c>
      <c r="C300" t="s">
        <v>34</v>
      </c>
      <c r="D300" t="s">
        <v>19</v>
      </c>
      <c r="E300" s="1">
        <v>45472</v>
      </c>
      <c r="F300">
        <v>138</v>
      </c>
      <c r="G300" t="s">
        <v>38</v>
      </c>
      <c r="H300">
        <v>3</v>
      </c>
      <c r="I300">
        <v>258</v>
      </c>
      <c r="J300" t="s">
        <v>54</v>
      </c>
      <c r="K300" t="str">
        <f t="shared" si="28"/>
        <v>Neutral</v>
      </c>
      <c r="L300">
        <f t="shared" si="29"/>
        <v>258</v>
      </c>
      <c r="M300" t="str">
        <f t="shared" si="30"/>
        <v>Long</v>
      </c>
      <c r="N300" s="4" t="str">
        <f t="shared" si="31"/>
        <v>Pho</v>
      </c>
      <c r="O300" s="4" t="str">
        <f t="shared" si="32"/>
        <v>GIR</v>
      </c>
      <c r="P300" s="4" t="str">
        <f t="shared" si="33"/>
        <v>Could Be Cleaner</v>
      </c>
      <c r="Q300" s="4">
        <f t="shared" si="34"/>
        <v>12</v>
      </c>
    </row>
    <row r="301" spans="1:17">
      <c r="A301">
        <v>1300</v>
      </c>
      <c r="B301" t="s">
        <v>93</v>
      </c>
      <c r="C301" t="s">
        <v>41</v>
      </c>
      <c r="D301" t="s">
        <v>53</v>
      </c>
      <c r="E301" s="1">
        <v>45379</v>
      </c>
      <c r="F301">
        <v>24</v>
      </c>
      <c r="G301" t="s">
        <v>46</v>
      </c>
      <c r="H301">
        <v>2.7</v>
      </c>
      <c r="I301">
        <v>276</v>
      </c>
      <c r="J301" t="s">
        <v>30</v>
      </c>
      <c r="K301" t="str">
        <f t="shared" si="28"/>
        <v>Bad</v>
      </c>
      <c r="L301">
        <f t="shared" si="29"/>
        <v>276</v>
      </c>
      <c r="M301" t="str">
        <f t="shared" si="30"/>
        <v>Short</v>
      </c>
      <c r="N301" s="4" t="str">
        <f t="shared" si="31"/>
        <v>Boa</v>
      </c>
      <c r="O301" s="4" t="str">
        <f t="shared" si="32"/>
        <v>JIM CORBETT</v>
      </c>
      <c r="P301" s="4" t="str">
        <f t="shared" si="33"/>
        <v>Good Guide Support</v>
      </c>
      <c r="Q301" s="4">
        <f t="shared" si="34"/>
        <v>11</v>
      </c>
    </row>
    <row r="302" spans="1:17">
      <c r="A302">
        <v>1301</v>
      </c>
      <c r="B302" t="s">
        <v>94</v>
      </c>
      <c r="C302" t="s">
        <v>43</v>
      </c>
      <c r="D302" t="s">
        <v>37</v>
      </c>
      <c r="E302" s="1">
        <v>45395</v>
      </c>
      <c r="F302">
        <v>32</v>
      </c>
      <c r="G302" t="s">
        <v>20</v>
      </c>
      <c r="H302">
        <v>3</v>
      </c>
      <c r="I302">
        <v>296</v>
      </c>
      <c r="J302" t="s">
        <v>30</v>
      </c>
      <c r="K302" t="str">
        <f t="shared" si="28"/>
        <v>Neutral</v>
      </c>
      <c r="L302">
        <f t="shared" si="29"/>
        <v>296</v>
      </c>
      <c r="M302" t="str">
        <f t="shared" si="30"/>
        <v>Medium</v>
      </c>
      <c r="N302" s="4" t="str">
        <f t="shared" si="31"/>
        <v>Bir</v>
      </c>
      <c r="O302" s="4" t="str">
        <f t="shared" si="32"/>
        <v>RANTHAMBORE</v>
      </c>
      <c r="P302" s="4" t="str">
        <f t="shared" si="33"/>
        <v>Good Guide Support</v>
      </c>
      <c r="Q302" s="4">
        <f t="shared" si="34"/>
        <v>9</v>
      </c>
    </row>
    <row r="303" spans="1:17">
      <c r="A303">
        <v>1302</v>
      </c>
      <c r="B303" t="s">
        <v>120</v>
      </c>
      <c r="C303" t="s">
        <v>28</v>
      </c>
      <c r="D303" t="s">
        <v>37</v>
      </c>
      <c r="E303" s="1">
        <v>45423</v>
      </c>
      <c r="F303">
        <v>22</v>
      </c>
      <c r="G303" t="s">
        <v>25</v>
      </c>
      <c r="H303">
        <v>4.9000000000000004</v>
      </c>
      <c r="I303">
        <v>479</v>
      </c>
      <c r="J303" t="s">
        <v>26</v>
      </c>
      <c r="K303" t="str">
        <f t="shared" si="28"/>
        <v>Good</v>
      </c>
      <c r="L303">
        <f t="shared" si="29"/>
        <v>479</v>
      </c>
      <c r="M303" t="str">
        <f t="shared" si="30"/>
        <v>Short</v>
      </c>
      <c r="N303" s="4" t="str">
        <f t="shared" si="31"/>
        <v>Bir</v>
      </c>
      <c r="O303" s="4" t="str">
        <f t="shared" si="32"/>
        <v>PERIYAR</v>
      </c>
      <c r="P303" s="4" t="str">
        <f t="shared" si="33"/>
        <v>Excellent Wildlife View</v>
      </c>
      <c r="Q303" s="4">
        <f t="shared" si="34"/>
        <v>12</v>
      </c>
    </row>
    <row r="304" spans="1:17">
      <c r="A304">
        <v>1303</v>
      </c>
      <c r="B304" t="s">
        <v>22</v>
      </c>
      <c r="C304" t="s">
        <v>41</v>
      </c>
      <c r="D304" t="s">
        <v>24</v>
      </c>
      <c r="E304" s="1">
        <v>45407</v>
      </c>
      <c r="F304">
        <v>116</v>
      </c>
      <c r="G304" t="s">
        <v>25</v>
      </c>
      <c r="H304">
        <v>4.3</v>
      </c>
      <c r="I304">
        <v>186</v>
      </c>
      <c r="J304" t="s">
        <v>68</v>
      </c>
      <c r="K304" t="str">
        <f t="shared" si="28"/>
        <v>Good</v>
      </c>
      <c r="L304">
        <f t="shared" si="29"/>
        <v>186</v>
      </c>
      <c r="M304" t="str">
        <f t="shared" si="30"/>
        <v>Long</v>
      </c>
      <c r="N304" s="4" t="str">
        <f t="shared" si="31"/>
        <v>Saf</v>
      </c>
      <c r="O304" s="4" t="str">
        <f t="shared" si="32"/>
        <v>JIM CORBETT</v>
      </c>
      <c r="P304" s="4" t="str">
        <f t="shared" si="33"/>
        <v>Average Service</v>
      </c>
      <c r="Q304" s="4">
        <f t="shared" si="34"/>
        <v>11</v>
      </c>
    </row>
    <row r="305" spans="1:17">
      <c r="A305">
        <v>1304</v>
      </c>
      <c r="B305" t="s">
        <v>140</v>
      </c>
      <c r="C305" t="s">
        <v>23</v>
      </c>
      <c r="D305" t="s">
        <v>53</v>
      </c>
      <c r="E305" s="1">
        <v>45540</v>
      </c>
      <c r="F305">
        <v>113</v>
      </c>
      <c r="G305" t="s">
        <v>38</v>
      </c>
      <c r="H305">
        <v>3.3</v>
      </c>
      <c r="I305">
        <v>157</v>
      </c>
      <c r="J305" t="s">
        <v>35</v>
      </c>
      <c r="K305" t="str">
        <f t="shared" si="28"/>
        <v>Neutral</v>
      </c>
      <c r="L305">
        <f t="shared" si="29"/>
        <v>157</v>
      </c>
      <c r="M305" t="str">
        <f t="shared" si="30"/>
        <v>Long</v>
      </c>
      <c r="N305" s="4" t="str">
        <f t="shared" si="31"/>
        <v>Boa</v>
      </c>
      <c r="O305" s="4" t="str">
        <f t="shared" si="32"/>
        <v>BANDHAVGARH</v>
      </c>
      <c r="P305" s="4" t="str">
        <f t="shared" si="33"/>
        <v>Very Enjoyable</v>
      </c>
      <c r="Q305" s="4">
        <f t="shared" si="34"/>
        <v>11</v>
      </c>
    </row>
    <row r="306" spans="1:17">
      <c r="A306">
        <v>1305</v>
      </c>
      <c r="B306" t="s">
        <v>33</v>
      </c>
      <c r="C306" t="s">
        <v>23</v>
      </c>
      <c r="D306" t="s">
        <v>29</v>
      </c>
      <c r="E306" s="1">
        <v>45437</v>
      </c>
      <c r="F306">
        <v>74</v>
      </c>
      <c r="G306" t="s">
        <v>46</v>
      </c>
      <c r="H306">
        <v>3.5</v>
      </c>
      <c r="I306">
        <v>304</v>
      </c>
      <c r="J306" t="s">
        <v>50</v>
      </c>
      <c r="K306" t="str">
        <f t="shared" si="28"/>
        <v>Neutral</v>
      </c>
      <c r="L306">
        <f t="shared" si="29"/>
        <v>304</v>
      </c>
      <c r="M306" t="str">
        <f t="shared" si="30"/>
        <v>Medium</v>
      </c>
      <c r="N306" s="4" t="str">
        <f t="shared" si="31"/>
        <v>Hik</v>
      </c>
      <c r="O306" s="4" t="str">
        <f t="shared" si="32"/>
        <v>BANDHAVGARH</v>
      </c>
      <c r="P306" s="4" t="str">
        <f t="shared" si="33"/>
        <v>Saw Rare Species</v>
      </c>
      <c r="Q306" s="4">
        <f t="shared" si="34"/>
        <v>12</v>
      </c>
    </row>
    <row r="307" spans="1:17">
      <c r="A307">
        <v>1306</v>
      </c>
      <c r="B307" t="s">
        <v>132</v>
      </c>
      <c r="C307" t="s">
        <v>45</v>
      </c>
      <c r="D307" t="s">
        <v>37</v>
      </c>
      <c r="E307" s="1">
        <v>45479</v>
      </c>
      <c r="F307">
        <v>237</v>
      </c>
      <c r="G307" t="s">
        <v>46</v>
      </c>
      <c r="H307">
        <v>4.8</v>
      </c>
      <c r="I307">
        <v>149</v>
      </c>
      <c r="J307" t="s">
        <v>32</v>
      </c>
      <c r="K307" t="str">
        <f t="shared" si="28"/>
        <v>Good</v>
      </c>
      <c r="L307">
        <f t="shared" si="29"/>
        <v>149</v>
      </c>
      <c r="M307" t="str">
        <f t="shared" si="30"/>
        <v>Very Long</v>
      </c>
      <c r="N307" s="4" t="str">
        <f t="shared" si="31"/>
        <v>Bir</v>
      </c>
      <c r="O307" s="4" t="str">
        <f t="shared" si="32"/>
        <v>KANHA</v>
      </c>
      <c r="P307" s="4" t="str">
        <f t="shared" si="33"/>
        <v>No Comments</v>
      </c>
      <c r="Q307" s="4">
        <f t="shared" si="34"/>
        <v>12</v>
      </c>
    </row>
    <row r="308" spans="1:17">
      <c r="A308">
        <v>1307</v>
      </c>
      <c r="B308" t="s">
        <v>61</v>
      </c>
      <c r="C308" t="s">
        <v>45</v>
      </c>
      <c r="D308" t="s">
        <v>29</v>
      </c>
      <c r="E308" s="1">
        <v>45347</v>
      </c>
      <c r="F308">
        <v>83</v>
      </c>
      <c r="G308" t="s">
        <v>25</v>
      </c>
      <c r="H308">
        <v>3.7</v>
      </c>
      <c r="I308">
        <v>397</v>
      </c>
      <c r="J308" t="s">
        <v>21</v>
      </c>
      <c r="K308" t="str">
        <f t="shared" si="28"/>
        <v>Neutral</v>
      </c>
      <c r="L308">
        <f t="shared" si="29"/>
        <v>397</v>
      </c>
      <c r="M308" t="str">
        <f t="shared" si="30"/>
        <v>Medium</v>
      </c>
      <c r="N308" s="4" t="str">
        <f t="shared" si="31"/>
        <v>Hik</v>
      </c>
      <c r="O308" s="4" t="str">
        <f t="shared" si="32"/>
        <v>KANHA</v>
      </c>
      <c r="P308" s="4" t="str">
        <f t="shared" si="33"/>
        <v>Too Crowded</v>
      </c>
      <c r="Q308" s="4">
        <f t="shared" si="34"/>
        <v>11</v>
      </c>
    </row>
    <row r="309" spans="1:17">
      <c r="A309">
        <v>1308</v>
      </c>
      <c r="B309" t="s">
        <v>139</v>
      </c>
      <c r="C309" t="s">
        <v>23</v>
      </c>
      <c r="D309" t="s">
        <v>53</v>
      </c>
      <c r="E309" s="1">
        <v>45578</v>
      </c>
      <c r="F309">
        <v>113</v>
      </c>
      <c r="G309" t="s">
        <v>25</v>
      </c>
      <c r="H309">
        <v>3.6</v>
      </c>
      <c r="I309">
        <v>124</v>
      </c>
      <c r="J309" t="s">
        <v>68</v>
      </c>
      <c r="K309" t="str">
        <f t="shared" si="28"/>
        <v>Neutral</v>
      </c>
      <c r="L309">
        <f t="shared" si="29"/>
        <v>124</v>
      </c>
      <c r="M309" t="str">
        <f t="shared" si="30"/>
        <v>Long</v>
      </c>
      <c r="N309" s="4" t="str">
        <f t="shared" si="31"/>
        <v>Boa</v>
      </c>
      <c r="O309" s="4" t="str">
        <f t="shared" si="32"/>
        <v>BANDHAVGARH</v>
      </c>
      <c r="P309" s="4" t="str">
        <f t="shared" si="33"/>
        <v>Average Service</v>
      </c>
      <c r="Q309" s="4">
        <f t="shared" si="34"/>
        <v>9</v>
      </c>
    </row>
    <row r="310" spans="1:17">
      <c r="A310">
        <v>1309</v>
      </c>
      <c r="B310" t="s">
        <v>118</v>
      </c>
      <c r="C310" t="s">
        <v>18</v>
      </c>
      <c r="D310" t="s">
        <v>29</v>
      </c>
      <c r="E310" s="1">
        <v>45634</v>
      </c>
      <c r="F310">
        <v>79</v>
      </c>
      <c r="G310" t="s">
        <v>38</v>
      </c>
      <c r="H310">
        <v>3.8</v>
      </c>
      <c r="I310">
        <v>115</v>
      </c>
      <c r="J310" t="s">
        <v>68</v>
      </c>
      <c r="K310" t="str">
        <f t="shared" si="28"/>
        <v>Neutral</v>
      </c>
      <c r="L310">
        <f t="shared" si="29"/>
        <v>115</v>
      </c>
      <c r="M310" t="str">
        <f t="shared" si="30"/>
        <v>Medium</v>
      </c>
      <c r="N310" s="4" t="str">
        <f t="shared" si="31"/>
        <v>Hik</v>
      </c>
      <c r="O310" s="4" t="str">
        <f t="shared" si="32"/>
        <v>SUNDARBANS</v>
      </c>
      <c r="P310" s="4" t="str">
        <f t="shared" si="33"/>
        <v>Average Service</v>
      </c>
      <c r="Q310" s="4">
        <f t="shared" si="34"/>
        <v>12</v>
      </c>
    </row>
    <row r="311" spans="1:17">
      <c r="A311">
        <v>1310</v>
      </c>
      <c r="B311" t="s">
        <v>76</v>
      </c>
      <c r="C311" t="s">
        <v>43</v>
      </c>
      <c r="D311" t="s">
        <v>24</v>
      </c>
      <c r="E311" s="1">
        <v>45624</v>
      </c>
      <c r="F311">
        <v>179</v>
      </c>
      <c r="G311" t="s">
        <v>20</v>
      </c>
      <c r="H311">
        <v>4.5</v>
      </c>
      <c r="I311">
        <v>411</v>
      </c>
      <c r="J311" t="s">
        <v>66</v>
      </c>
      <c r="K311" t="str">
        <f t="shared" si="28"/>
        <v>Good</v>
      </c>
      <c r="L311">
        <f t="shared" si="29"/>
        <v>411</v>
      </c>
      <c r="M311" t="str">
        <f t="shared" si="30"/>
        <v>Long</v>
      </c>
      <c r="N311" s="4" t="str">
        <f t="shared" si="31"/>
        <v>Saf</v>
      </c>
      <c r="O311" s="4" t="str">
        <f t="shared" si="32"/>
        <v>RANTHAMBORE</v>
      </c>
      <c r="P311" s="4" t="str">
        <f t="shared" si="33"/>
        <v>Amazing Experience</v>
      </c>
      <c r="Q311" s="4">
        <f t="shared" si="34"/>
        <v>11</v>
      </c>
    </row>
    <row r="312" spans="1:17">
      <c r="A312">
        <v>1311</v>
      </c>
      <c r="B312" t="s">
        <v>17</v>
      </c>
      <c r="C312" t="s">
        <v>18</v>
      </c>
      <c r="D312" t="s">
        <v>37</v>
      </c>
      <c r="E312" s="1">
        <v>45338</v>
      </c>
      <c r="F312">
        <v>137</v>
      </c>
      <c r="G312" t="s">
        <v>46</v>
      </c>
      <c r="H312">
        <v>4.3</v>
      </c>
      <c r="I312">
        <v>448</v>
      </c>
      <c r="J312" t="s">
        <v>26</v>
      </c>
      <c r="K312" t="str">
        <f t="shared" si="28"/>
        <v>Good</v>
      </c>
      <c r="L312">
        <f t="shared" si="29"/>
        <v>448</v>
      </c>
      <c r="M312" t="str">
        <f t="shared" si="30"/>
        <v>Long</v>
      </c>
      <c r="N312" s="4" t="str">
        <f t="shared" si="31"/>
        <v>Bir</v>
      </c>
      <c r="O312" s="4" t="str">
        <f t="shared" si="32"/>
        <v>SUNDARBANS</v>
      </c>
      <c r="P312" s="4" t="str">
        <f t="shared" si="33"/>
        <v>Excellent Wildlife View</v>
      </c>
      <c r="Q312" s="4">
        <f t="shared" si="34"/>
        <v>11</v>
      </c>
    </row>
    <row r="313" spans="1:17">
      <c r="A313">
        <v>1312</v>
      </c>
      <c r="B313" t="s">
        <v>78</v>
      </c>
      <c r="C313" t="s">
        <v>45</v>
      </c>
      <c r="D313" t="s">
        <v>53</v>
      </c>
      <c r="E313" s="1">
        <v>45325</v>
      </c>
      <c r="F313">
        <v>178</v>
      </c>
      <c r="G313" t="s">
        <v>20</v>
      </c>
      <c r="H313">
        <v>3</v>
      </c>
      <c r="I313">
        <v>247</v>
      </c>
      <c r="J313" t="s">
        <v>32</v>
      </c>
      <c r="K313" t="str">
        <f t="shared" si="28"/>
        <v>Neutral</v>
      </c>
      <c r="L313">
        <f t="shared" si="29"/>
        <v>247</v>
      </c>
      <c r="M313" t="str">
        <f t="shared" si="30"/>
        <v>Long</v>
      </c>
      <c r="N313" s="4" t="str">
        <f t="shared" si="31"/>
        <v>Boa</v>
      </c>
      <c r="O313" s="4" t="str">
        <f t="shared" si="32"/>
        <v>KANHA</v>
      </c>
      <c r="P313" s="4" t="str">
        <f t="shared" si="33"/>
        <v>No Comments</v>
      </c>
      <c r="Q313" s="4">
        <f t="shared" si="34"/>
        <v>10</v>
      </c>
    </row>
    <row r="314" spans="1:17">
      <c r="A314">
        <v>1313</v>
      </c>
      <c r="B314" t="s">
        <v>82</v>
      </c>
      <c r="C314" t="s">
        <v>23</v>
      </c>
      <c r="D314" t="s">
        <v>53</v>
      </c>
      <c r="E314" s="1">
        <v>45331</v>
      </c>
      <c r="F314">
        <v>204</v>
      </c>
      <c r="G314" t="s">
        <v>20</v>
      </c>
      <c r="H314">
        <v>4.0999999999999996</v>
      </c>
      <c r="I314">
        <v>237</v>
      </c>
      <c r="J314" t="s">
        <v>54</v>
      </c>
      <c r="K314" t="str">
        <f t="shared" si="28"/>
        <v>Good</v>
      </c>
      <c r="L314">
        <f t="shared" si="29"/>
        <v>237</v>
      </c>
      <c r="M314" t="str">
        <f t="shared" si="30"/>
        <v>Very Long</v>
      </c>
      <c r="N314" s="4" t="str">
        <f t="shared" si="31"/>
        <v>Boa</v>
      </c>
      <c r="O314" s="4" t="str">
        <f t="shared" si="32"/>
        <v>BANDHAVGARH</v>
      </c>
      <c r="P314" s="4" t="str">
        <f t="shared" si="33"/>
        <v>Could Be Cleaner</v>
      </c>
      <c r="Q314" s="4">
        <f t="shared" si="34"/>
        <v>11</v>
      </c>
    </row>
    <row r="315" spans="1:17">
      <c r="A315">
        <v>1314</v>
      </c>
      <c r="B315" t="s">
        <v>40</v>
      </c>
      <c r="C315" t="s">
        <v>23</v>
      </c>
      <c r="D315" t="s">
        <v>24</v>
      </c>
      <c r="E315" s="1">
        <v>45294</v>
      </c>
      <c r="F315">
        <v>165</v>
      </c>
      <c r="G315" t="s">
        <v>20</v>
      </c>
      <c r="H315">
        <v>4.5</v>
      </c>
      <c r="I315">
        <v>124</v>
      </c>
      <c r="J315" t="s">
        <v>68</v>
      </c>
      <c r="K315" t="str">
        <f t="shared" si="28"/>
        <v>Good</v>
      </c>
      <c r="L315">
        <f t="shared" si="29"/>
        <v>124</v>
      </c>
      <c r="M315" t="str">
        <f t="shared" si="30"/>
        <v>Long</v>
      </c>
      <c r="N315" s="4" t="str">
        <f t="shared" si="31"/>
        <v>Saf</v>
      </c>
      <c r="O315" s="4" t="str">
        <f t="shared" si="32"/>
        <v>BANDHAVGARH</v>
      </c>
      <c r="P315" s="4" t="str">
        <f t="shared" si="33"/>
        <v>Average Service</v>
      </c>
      <c r="Q315" s="4">
        <f t="shared" si="34"/>
        <v>11</v>
      </c>
    </row>
    <row r="316" spans="1:17">
      <c r="A316">
        <v>1315</v>
      </c>
      <c r="B316" t="s">
        <v>49</v>
      </c>
      <c r="C316" t="s">
        <v>41</v>
      </c>
      <c r="D316" t="s">
        <v>37</v>
      </c>
      <c r="E316" s="1">
        <v>45632</v>
      </c>
      <c r="F316">
        <v>49</v>
      </c>
      <c r="G316" t="s">
        <v>38</v>
      </c>
      <c r="H316">
        <v>3.7</v>
      </c>
      <c r="I316">
        <v>365</v>
      </c>
      <c r="J316" t="s">
        <v>35</v>
      </c>
      <c r="K316" t="str">
        <f t="shared" si="28"/>
        <v>Neutral</v>
      </c>
      <c r="L316">
        <f t="shared" si="29"/>
        <v>365</v>
      </c>
      <c r="M316" t="str">
        <f t="shared" si="30"/>
        <v>Medium</v>
      </c>
      <c r="N316" s="4" t="str">
        <f t="shared" si="31"/>
        <v>Bir</v>
      </c>
      <c r="O316" s="4" t="str">
        <f t="shared" si="32"/>
        <v>JIM CORBETT</v>
      </c>
      <c r="P316" s="4" t="str">
        <f t="shared" si="33"/>
        <v>Very Enjoyable</v>
      </c>
      <c r="Q316" s="4">
        <f t="shared" si="34"/>
        <v>11</v>
      </c>
    </row>
    <row r="317" spans="1:17">
      <c r="A317">
        <v>1316</v>
      </c>
      <c r="B317" t="s">
        <v>74</v>
      </c>
      <c r="C317" t="s">
        <v>18</v>
      </c>
      <c r="D317" t="s">
        <v>19</v>
      </c>
      <c r="E317" s="1">
        <v>45333</v>
      </c>
      <c r="F317">
        <v>149</v>
      </c>
      <c r="G317" t="s">
        <v>38</v>
      </c>
      <c r="H317">
        <v>4.5999999999999996</v>
      </c>
      <c r="I317">
        <v>153</v>
      </c>
      <c r="J317" t="s">
        <v>66</v>
      </c>
      <c r="K317" t="str">
        <f t="shared" si="28"/>
        <v>Good</v>
      </c>
      <c r="L317">
        <f t="shared" si="29"/>
        <v>153</v>
      </c>
      <c r="M317" t="str">
        <f t="shared" si="30"/>
        <v>Long</v>
      </c>
      <c r="N317" s="4" t="str">
        <f t="shared" si="31"/>
        <v>Pho</v>
      </c>
      <c r="O317" s="4" t="str">
        <f t="shared" si="32"/>
        <v>SUNDARBANS</v>
      </c>
      <c r="P317" s="4" t="str">
        <f t="shared" si="33"/>
        <v>Amazing Experience</v>
      </c>
      <c r="Q317" s="4">
        <f t="shared" si="34"/>
        <v>10</v>
      </c>
    </row>
    <row r="318" spans="1:17">
      <c r="A318">
        <v>1317</v>
      </c>
      <c r="B318" t="s">
        <v>87</v>
      </c>
      <c r="C318" t="s">
        <v>41</v>
      </c>
      <c r="D318" t="s">
        <v>48</v>
      </c>
      <c r="E318" s="1">
        <v>45480</v>
      </c>
      <c r="F318">
        <v>125</v>
      </c>
      <c r="G318" t="s">
        <v>38</v>
      </c>
      <c r="H318">
        <v>2.8</v>
      </c>
      <c r="I318">
        <v>294</v>
      </c>
      <c r="J318" t="s">
        <v>68</v>
      </c>
      <c r="K318" t="str">
        <f t="shared" si="28"/>
        <v>Bad</v>
      </c>
      <c r="L318">
        <f t="shared" si="29"/>
        <v>294</v>
      </c>
      <c r="M318" t="str">
        <f t="shared" si="30"/>
        <v>Long</v>
      </c>
      <c r="N318" s="4" t="str">
        <f t="shared" si="31"/>
        <v>Cam</v>
      </c>
      <c r="O318" s="4" t="str">
        <f t="shared" si="32"/>
        <v>JIM CORBETT</v>
      </c>
      <c r="P318" s="4" t="str">
        <f t="shared" si="33"/>
        <v>Average Service</v>
      </c>
      <c r="Q318" s="4">
        <f t="shared" si="34"/>
        <v>10</v>
      </c>
    </row>
    <row r="319" spans="1:17">
      <c r="A319">
        <v>1318</v>
      </c>
      <c r="B319" t="s">
        <v>72</v>
      </c>
      <c r="C319" t="s">
        <v>18</v>
      </c>
      <c r="D319" t="s">
        <v>37</v>
      </c>
      <c r="E319" s="1">
        <v>45379</v>
      </c>
      <c r="F319">
        <v>41</v>
      </c>
      <c r="G319" t="s">
        <v>25</v>
      </c>
      <c r="H319">
        <v>3</v>
      </c>
      <c r="I319">
        <v>299</v>
      </c>
      <c r="J319" t="s">
        <v>50</v>
      </c>
      <c r="K319" t="str">
        <f t="shared" si="28"/>
        <v>Neutral</v>
      </c>
      <c r="L319">
        <f t="shared" si="29"/>
        <v>299</v>
      </c>
      <c r="M319" t="str">
        <f t="shared" si="30"/>
        <v>Medium</v>
      </c>
      <c r="N319" s="4" t="str">
        <f t="shared" si="31"/>
        <v>Bir</v>
      </c>
      <c r="O319" s="4" t="str">
        <f t="shared" si="32"/>
        <v>SUNDARBANS</v>
      </c>
      <c r="P319" s="4" t="str">
        <f t="shared" si="33"/>
        <v>Saw Rare Species</v>
      </c>
      <c r="Q319" s="4">
        <f t="shared" si="34"/>
        <v>10</v>
      </c>
    </row>
    <row r="320" spans="1:17">
      <c r="A320">
        <v>1319</v>
      </c>
      <c r="B320" t="s">
        <v>42</v>
      </c>
      <c r="C320" t="s">
        <v>52</v>
      </c>
      <c r="D320" t="s">
        <v>24</v>
      </c>
      <c r="E320" s="1">
        <v>45580</v>
      </c>
      <c r="F320">
        <v>174</v>
      </c>
      <c r="G320" t="s">
        <v>46</v>
      </c>
      <c r="H320">
        <v>2.5</v>
      </c>
      <c r="I320">
        <v>402</v>
      </c>
      <c r="J320" t="s">
        <v>21</v>
      </c>
      <c r="K320" t="str">
        <f t="shared" si="28"/>
        <v>Bad</v>
      </c>
      <c r="L320">
        <f t="shared" si="29"/>
        <v>402</v>
      </c>
      <c r="M320" t="str">
        <f t="shared" si="30"/>
        <v>Long</v>
      </c>
      <c r="N320" s="4" t="str">
        <f t="shared" si="31"/>
        <v>Saf</v>
      </c>
      <c r="O320" s="4" t="str">
        <f t="shared" si="32"/>
        <v>KAZIRANGA</v>
      </c>
      <c r="P320" s="4" t="str">
        <f t="shared" si="33"/>
        <v>Too Crowded</v>
      </c>
      <c r="Q320" s="4">
        <f t="shared" si="34"/>
        <v>9</v>
      </c>
    </row>
    <row r="321" spans="1:17">
      <c r="A321">
        <v>1320</v>
      </c>
      <c r="B321" t="s">
        <v>74</v>
      </c>
      <c r="C321" t="s">
        <v>23</v>
      </c>
      <c r="D321" t="s">
        <v>24</v>
      </c>
      <c r="E321" s="1">
        <v>45569</v>
      </c>
      <c r="F321">
        <v>200</v>
      </c>
      <c r="G321" t="s">
        <v>25</v>
      </c>
      <c r="H321">
        <v>2.6</v>
      </c>
      <c r="I321">
        <v>415</v>
      </c>
      <c r="J321" t="s">
        <v>66</v>
      </c>
      <c r="K321" t="str">
        <f t="shared" si="28"/>
        <v>Bad</v>
      </c>
      <c r="L321">
        <f t="shared" si="29"/>
        <v>415</v>
      </c>
      <c r="M321" t="str">
        <f t="shared" si="30"/>
        <v>Very Long</v>
      </c>
      <c r="N321" s="4" t="str">
        <f t="shared" si="31"/>
        <v>Saf</v>
      </c>
      <c r="O321" s="4" t="str">
        <f t="shared" si="32"/>
        <v>BANDHAVGARH</v>
      </c>
      <c r="P321" s="4" t="str">
        <f t="shared" si="33"/>
        <v>Amazing Experience</v>
      </c>
      <c r="Q321" s="4">
        <f t="shared" si="34"/>
        <v>10</v>
      </c>
    </row>
    <row r="322" spans="1:17">
      <c r="A322">
        <v>1321</v>
      </c>
      <c r="B322" t="s">
        <v>63</v>
      </c>
      <c r="C322" t="s">
        <v>41</v>
      </c>
      <c r="D322" t="s">
        <v>19</v>
      </c>
      <c r="E322" s="1">
        <v>45360</v>
      </c>
      <c r="F322">
        <v>181</v>
      </c>
      <c r="G322" t="s">
        <v>46</v>
      </c>
      <c r="H322">
        <v>2.6</v>
      </c>
      <c r="I322">
        <v>432</v>
      </c>
      <c r="J322" t="s">
        <v>50</v>
      </c>
      <c r="K322" t="str">
        <f t="shared" ref="K322:K385" si="35">IF(H322&gt;4,"Good",IF(H322&gt;=3,"Neutral","Bad"))</f>
        <v>Bad</v>
      </c>
      <c r="L322">
        <f t="shared" ref="L322:L385" si="36">ROUND(I322,0)</f>
        <v>432</v>
      </c>
      <c r="M322" t="str">
        <f t="shared" ref="M322:M385" si="37">IF(F322&lt;30,"Short",IF(F322&lt;90,"Medium",IF(F322&lt;180,"Long","Very Long")))</f>
        <v>Very Long</v>
      </c>
      <c r="N322" s="4" t="str">
        <f t="shared" ref="N322:N385" si="38">LEFT(D322,3)</f>
        <v>Pho</v>
      </c>
      <c r="O322" s="4" t="str">
        <f t="shared" ref="O322:O385" si="39">UPPER(C322)</f>
        <v>JIM CORBETT</v>
      </c>
      <c r="P322" s="4" t="str">
        <f t="shared" ref="P322:P385" si="40">PROPER(J322)</f>
        <v>Saw Rare Species</v>
      </c>
      <c r="Q322" s="4">
        <f t="shared" ref="Q322:Q385" si="41">LEN(B322)</f>
        <v>10</v>
      </c>
    </row>
    <row r="323" spans="1:17">
      <c r="A323">
        <v>1322</v>
      </c>
      <c r="B323" t="s">
        <v>121</v>
      </c>
      <c r="C323" t="s">
        <v>23</v>
      </c>
      <c r="D323" t="s">
        <v>19</v>
      </c>
      <c r="E323" s="1">
        <v>45602</v>
      </c>
      <c r="F323">
        <v>87</v>
      </c>
      <c r="G323" t="s">
        <v>25</v>
      </c>
      <c r="H323">
        <v>4.2</v>
      </c>
      <c r="I323">
        <v>233</v>
      </c>
      <c r="J323" t="s">
        <v>73</v>
      </c>
      <c r="K323" t="str">
        <f t="shared" si="35"/>
        <v>Good</v>
      </c>
      <c r="L323">
        <f t="shared" si="36"/>
        <v>233</v>
      </c>
      <c r="M323" t="str">
        <f t="shared" si="37"/>
        <v>Medium</v>
      </c>
      <c r="N323" s="4" t="str">
        <f t="shared" si="38"/>
        <v>Pho</v>
      </c>
      <c r="O323" s="4" t="str">
        <f t="shared" si="39"/>
        <v>BANDHAVGARH</v>
      </c>
      <c r="P323" s="4" t="str">
        <f t="shared" si="40"/>
        <v>Peaceful Environment</v>
      </c>
      <c r="Q323" s="4">
        <f t="shared" si="41"/>
        <v>10</v>
      </c>
    </row>
    <row r="324" spans="1:17">
      <c r="A324">
        <v>1323</v>
      </c>
      <c r="B324" t="s">
        <v>80</v>
      </c>
      <c r="C324" t="s">
        <v>34</v>
      </c>
      <c r="D324" t="s">
        <v>48</v>
      </c>
      <c r="E324" s="1">
        <v>45652</v>
      </c>
      <c r="F324">
        <v>89</v>
      </c>
      <c r="G324" t="s">
        <v>25</v>
      </c>
      <c r="H324">
        <v>3.5</v>
      </c>
      <c r="I324">
        <v>326</v>
      </c>
      <c r="J324" t="s">
        <v>50</v>
      </c>
      <c r="K324" t="str">
        <f t="shared" si="35"/>
        <v>Neutral</v>
      </c>
      <c r="L324">
        <f t="shared" si="36"/>
        <v>326</v>
      </c>
      <c r="M324" t="str">
        <f t="shared" si="37"/>
        <v>Medium</v>
      </c>
      <c r="N324" s="4" t="str">
        <f t="shared" si="38"/>
        <v>Cam</v>
      </c>
      <c r="O324" s="4" t="str">
        <f t="shared" si="39"/>
        <v>GIR</v>
      </c>
      <c r="P324" s="4" t="str">
        <f t="shared" si="40"/>
        <v>Saw Rare Species</v>
      </c>
      <c r="Q324" s="4">
        <f t="shared" si="41"/>
        <v>12</v>
      </c>
    </row>
    <row r="325" spans="1:17">
      <c r="A325">
        <v>1324</v>
      </c>
      <c r="B325" t="s">
        <v>51</v>
      </c>
      <c r="C325" t="s">
        <v>28</v>
      </c>
      <c r="D325" t="s">
        <v>29</v>
      </c>
      <c r="E325" s="1">
        <v>45322</v>
      </c>
      <c r="F325">
        <v>24</v>
      </c>
      <c r="G325" t="s">
        <v>25</v>
      </c>
      <c r="H325">
        <v>3.8</v>
      </c>
      <c r="I325">
        <v>316</v>
      </c>
      <c r="J325" t="s">
        <v>32</v>
      </c>
      <c r="K325" t="str">
        <f t="shared" si="35"/>
        <v>Neutral</v>
      </c>
      <c r="L325">
        <f t="shared" si="36"/>
        <v>316</v>
      </c>
      <c r="M325" t="str">
        <f t="shared" si="37"/>
        <v>Short</v>
      </c>
      <c r="N325" s="4" t="str">
        <f t="shared" si="38"/>
        <v>Hik</v>
      </c>
      <c r="O325" s="4" t="str">
        <f t="shared" si="39"/>
        <v>PERIYAR</v>
      </c>
      <c r="P325" s="4" t="str">
        <f t="shared" si="40"/>
        <v>No Comments</v>
      </c>
      <c r="Q325" s="4">
        <f t="shared" si="41"/>
        <v>11</v>
      </c>
    </row>
    <row r="326" spans="1:17">
      <c r="A326">
        <v>1325</v>
      </c>
      <c r="B326" t="s">
        <v>62</v>
      </c>
      <c r="C326" t="s">
        <v>41</v>
      </c>
      <c r="D326" t="s">
        <v>19</v>
      </c>
      <c r="E326" s="1">
        <v>45349</v>
      </c>
      <c r="F326">
        <v>47</v>
      </c>
      <c r="G326" t="s">
        <v>20</v>
      </c>
      <c r="H326">
        <v>3.4</v>
      </c>
      <c r="I326">
        <v>196</v>
      </c>
      <c r="J326" t="s">
        <v>30</v>
      </c>
      <c r="K326" t="str">
        <f t="shared" si="35"/>
        <v>Neutral</v>
      </c>
      <c r="L326">
        <f t="shared" si="36"/>
        <v>196</v>
      </c>
      <c r="M326" t="str">
        <f t="shared" si="37"/>
        <v>Medium</v>
      </c>
      <c r="N326" s="4" t="str">
        <f t="shared" si="38"/>
        <v>Pho</v>
      </c>
      <c r="O326" s="4" t="str">
        <f t="shared" si="39"/>
        <v>JIM CORBETT</v>
      </c>
      <c r="P326" s="4" t="str">
        <f t="shared" si="40"/>
        <v>Good Guide Support</v>
      </c>
      <c r="Q326" s="4">
        <f t="shared" si="41"/>
        <v>10</v>
      </c>
    </row>
    <row r="327" spans="1:17">
      <c r="A327">
        <v>1326</v>
      </c>
      <c r="B327" t="s">
        <v>58</v>
      </c>
      <c r="C327" t="s">
        <v>34</v>
      </c>
      <c r="D327" t="s">
        <v>48</v>
      </c>
      <c r="E327" s="1">
        <v>45524</v>
      </c>
      <c r="F327">
        <v>227</v>
      </c>
      <c r="G327" t="s">
        <v>25</v>
      </c>
      <c r="H327">
        <v>5</v>
      </c>
      <c r="I327">
        <v>412</v>
      </c>
      <c r="J327" t="s">
        <v>32</v>
      </c>
      <c r="K327" t="str">
        <f t="shared" si="35"/>
        <v>Good</v>
      </c>
      <c r="L327">
        <f t="shared" si="36"/>
        <v>412</v>
      </c>
      <c r="M327" t="str">
        <f t="shared" si="37"/>
        <v>Very Long</v>
      </c>
      <c r="N327" s="4" t="str">
        <f t="shared" si="38"/>
        <v>Cam</v>
      </c>
      <c r="O327" s="4" t="str">
        <f t="shared" si="39"/>
        <v>GIR</v>
      </c>
      <c r="P327" s="4" t="str">
        <f t="shared" si="40"/>
        <v>No Comments</v>
      </c>
      <c r="Q327" s="4">
        <f t="shared" si="41"/>
        <v>10</v>
      </c>
    </row>
    <row r="328" spans="1:17">
      <c r="A328">
        <v>1327</v>
      </c>
      <c r="B328" t="s">
        <v>31</v>
      </c>
      <c r="C328" t="s">
        <v>34</v>
      </c>
      <c r="D328" t="s">
        <v>37</v>
      </c>
      <c r="E328" s="1">
        <v>45477</v>
      </c>
      <c r="F328">
        <v>222</v>
      </c>
      <c r="G328" t="s">
        <v>38</v>
      </c>
      <c r="H328">
        <v>3</v>
      </c>
      <c r="I328">
        <v>228</v>
      </c>
      <c r="J328" t="s">
        <v>50</v>
      </c>
      <c r="K328" t="str">
        <f t="shared" si="35"/>
        <v>Neutral</v>
      </c>
      <c r="L328">
        <f t="shared" si="36"/>
        <v>228</v>
      </c>
      <c r="M328" t="str">
        <f t="shared" si="37"/>
        <v>Very Long</v>
      </c>
      <c r="N328" s="4" t="str">
        <f t="shared" si="38"/>
        <v>Bir</v>
      </c>
      <c r="O328" s="4" t="str">
        <f t="shared" si="39"/>
        <v>GIR</v>
      </c>
      <c r="P328" s="4" t="str">
        <f t="shared" si="40"/>
        <v>Saw Rare Species</v>
      </c>
      <c r="Q328" s="4">
        <f t="shared" si="41"/>
        <v>9</v>
      </c>
    </row>
    <row r="329" spans="1:17">
      <c r="A329">
        <v>1328</v>
      </c>
      <c r="B329" t="s">
        <v>126</v>
      </c>
      <c r="C329" t="s">
        <v>18</v>
      </c>
      <c r="D329" t="s">
        <v>19</v>
      </c>
      <c r="E329" s="1">
        <v>45405</v>
      </c>
      <c r="F329">
        <v>73</v>
      </c>
      <c r="G329" t="s">
        <v>25</v>
      </c>
      <c r="H329">
        <v>4.8</v>
      </c>
      <c r="I329">
        <v>291</v>
      </c>
      <c r="J329" t="s">
        <v>68</v>
      </c>
      <c r="K329" t="str">
        <f t="shared" si="35"/>
        <v>Good</v>
      </c>
      <c r="L329">
        <f t="shared" si="36"/>
        <v>291</v>
      </c>
      <c r="M329" t="str">
        <f t="shared" si="37"/>
        <v>Medium</v>
      </c>
      <c r="N329" s="4" t="str">
        <f t="shared" si="38"/>
        <v>Pho</v>
      </c>
      <c r="O329" s="4" t="str">
        <f t="shared" si="39"/>
        <v>SUNDARBANS</v>
      </c>
      <c r="P329" s="4" t="str">
        <f t="shared" si="40"/>
        <v>Average Service</v>
      </c>
      <c r="Q329" s="4">
        <f t="shared" si="41"/>
        <v>9</v>
      </c>
    </row>
    <row r="330" spans="1:17">
      <c r="A330">
        <v>1329</v>
      </c>
      <c r="B330" t="s">
        <v>141</v>
      </c>
      <c r="C330" t="s">
        <v>28</v>
      </c>
      <c r="D330" t="s">
        <v>48</v>
      </c>
      <c r="E330" s="1">
        <v>45631</v>
      </c>
      <c r="F330">
        <v>174</v>
      </c>
      <c r="G330" t="s">
        <v>25</v>
      </c>
      <c r="H330">
        <v>4.8</v>
      </c>
      <c r="I330">
        <v>481</v>
      </c>
      <c r="J330" t="s">
        <v>73</v>
      </c>
      <c r="K330" t="str">
        <f t="shared" si="35"/>
        <v>Good</v>
      </c>
      <c r="L330">
        <f t="shared" si="36"/>
        <v>481</v>
      </c>
      <c r="M330" t="str">
        <f t="shared" si="37"/>
        <v>Long</v>
      </c>
      <c r="N330" s="4" t="str">
        <f t="shared" si="38"/>
        <v>Cam</v>
      </c>
      <c r="O330" s="4" t="str">
        <f t="shared" si="39"/>
        <v>PERIYAR</v>
      </c>
      <c r="P330" s="4" t="str">
        <f t="shared" si="40"/>
        <v>Peaceful Environment</v>
      </c>
      <c r="Q330" s="4">
        <f t="shared" si="41"/>
        <v>11</v>
      </c>
    </row>
    <row r="331" spans="1:17">
      <c r="A331">
        <v>1330</v>
      </c>
      <c r="B331" t="s">
        <v>86</v>
      </c>
      <c r="C331" t="s">
        <v>23</v>
      </c>
      <c r="D331" t="s">
        <v>48</v>
      </c>
      <c r="E331" s="1">
        <v>45570</v>
      </c>
      <c r="F331">
        <v>132</v>
      </c>
      <c r="G331" t="s">
        <v>25</v>
      </c>
      <c r="H331">
        <v>4.8</v>
      </c>
      <c r="I331">
        <v>180</v>
      </c>
      <c r="J331" t="s">
        <v>30</v>
      </c>
      <c r="K331" t="str">
        <f t="shared" si="35"/>
        <v>Good</v>
      </c>
      <c r="L331">
        <f t="shared" si="36"/>
        <v>180</v>
      </c>
      <c r="M331" t="str">
        <f t="shared" si="37"/>
        <v>Long</v>
      </c>
      <c r="N331" s="4" t="str">
        <f t="shared" si="38"/>
        <v>Cam</v>
      </c>
      <c r="O331" s="4" t="str">
        <f t="shared" si="39"/>
        <v>BANDHAVGARH</v>
      </c>
      <c r="P331" s="4" t="str">
        <f t="shared" si="40"/>
        <v>Good Guide Support</v>
      </c>
      <c r="Q331" s="4">
        <f t="shared" si="41"/>
        <v>10</v>
      </c>
    </row>
    <row r="332" spans="1:17">
      <c r="A332">
        <v>1331</v>
      </c>
      <c r="B332" t="s">
        <v>39</v>
      </c>
      <c r="C332" t="s">
        <v>23</v>
      </c>
      <c r="D332" t="s">
        <v>29</v>
      </c>
      <c r="E332" s="1">
        <v>45481</v>
      </c>
      <c r="F332">
        <v>86</v>
      </c>
      <c r="G332" t="s">
        <v>38</v>
      </c>
      <c r="H332">
        <v>3.2</v>
      </c>
      <c r="I332">
        <v>473</v>
      </c>
      <c r="J332" t="s">
        <v>35</v>
      </c>
      <c r="K332" t="str">
        <f t="shared" si="35"/>
        <v>Neutral</v>
      </c>
      <c r="L332">
        <f t="shared" si="36"/>
        <v>473</v>
      </c>
      <c r="M332" t="str">
        <f t="shared" si="37"/>
        <v>Medium</v>
      </c>
      <c r="N332" s="4" t="str">
        <f t="shared" si="38"/>
        <v>Hik</v>
      </c>
      <c r="O332" s="4" t="str">
        <f t="shared" si="39"/>
        <v>BANDHAVGARH</v>
      </c>
      <c r="P332" s="4" t="str">
        <f t="shared" si="40"/>
        <v>Very Enjoyable</v>
      </c>
      <c r="Q332" s="4">
        <f t="shared" si="41"/>
        <v>11</v>
      </c>
    </row>
    <row r="333" spans="1:17">
      <c r="A333">
        <v>1332</v>
      </c>
      <c r="B333" t="s">
        <v>55</v>
      </c>
      <c r="C333" t="s">
        <v>41</v>
      </c>
      <c r="D333" t="s">
        <v>24</v>
      </c>
      <c r="E333" s="1">
        <v>45579</v>
      </c>
      <c r="F333">
        <v>225</v>
      </c>
      <c r="G333" t="s">
        <v>25</v>
      </c>
      <c r="H333">
        <v>4.7</v>
      </c>
      <c r="I333">
        <v>434</v>
      </c>
      <c r="J333" t="s">
        <v>21</v>
      </c>
      <c r="K333" t="str">
        <f t="shared" si="35"/>
        <v>Good</v>
      </c>
      <c r="L333">
        <f t="shared" si="36"/>
        <v>434</v>
      </c>
      <c r="M333" t="str">
        <f t="shared" si="37"/>
        <v>Very Long</v>
      </c>
      <c r="N333" s="4" t="str">
        <f t="shared" si="38"/>
        <v>Saf</v>
      </c>
      <c r="O333" s="4" t="str">
        <f t="shared" si="39"/>
        <v>JIM CORBETT</v>
      </c>
      <c r="P333" s="4" t="str">
        <f t="shared" si="40"/>
        <v>Too Crowded</v>
      </c>
      <c r="Q333" s="4">
        <f t="shared" si="41"/>
        <v>11</v>
      </c>
    </row>
    <row r="334" spans="1:17">
      <c r="A334">
        <v>1333</v>
      </c>
      <c r="B334" t="s">
        <v>132</v>
      </c>
      <c r="C334" t="s">
        <v>23</v>
      </c>
      <c r="D334" t="s">
        <v>53</v>
      </c>
      <c r="E334" s="1">
        <v>45610</v>
      </c>
      <c r="F334">
        <v>163</v>
      </c>
      <c r="G334" t="s">
        <v>20</v>
      </c>
      <c r="H334">
        <v>2.7</v>
      </c>
      <c r="I334">
        <v>289</v>
      </c>
      <c r="J334" t="s">
        <v>66</v>
      </c>
      <c r="K334" t="str">
        <f t="shared" si="35"/>
        <v>Bad</v>
      </c>
      <c r="L334">
        <f t="shared" si="36"/>
        <v>289</v>
      </c>
      <c r="M334" t="str">
        <f t="shared" si="37"/>
        <v>Long</v>
      </c>
      <c r="N334" s="4" t="str">
        <f t="shared" si="38"/>
        <v>Boa</v>
      </c>
      <c r="O334" s="4" t="str">
        <f t="shared" si="39"/>
        <v>BANDHAVGARH</v>
      </c>
      <c r="P334" s="4" t="str">
        <f t="shared" si="40"/>
        <v>Amazing Experience</v>
      </c>
      <c r="Q334" s="4">
        <f t="shared" si="41"/>
        <v>12</v>
      </c>
    </row>
    <row r="335" spans="1:17">
      <c r="A335">
        <v>1334</v>
      </c>
      <c r="B335" t="s">
        <v>56</v>
      </c>
      <c r="C335" t="s">
        <v>43</v>
      </c>
      <c r="D335" t="s">
        <v>37</v>
      </c>
      <c r="E335" s="1">
        <v>45300</v>
      </c>
      <c r="F335">
        <v>121</v>
      </c>
      <c r="G335" t="s">
        <v>20</v>
      </c>
      <c r="H335">
        <v>3.7</v>
      </c>
      <c r="I335">
        <v>239</v>
      </c>
      <c r="J335" t="s">
        <v>68</v>
      </c>
      <c r="K335" t="str">
        <f t="shared" si="35"/>
        <v>Neutral</v>
      </c>
      <c r="L335">
        <f t="shared" si="36"/>
        <v>239</v>
      </c>
      <c r="M335" t="str">
        <f t="shared" si="37"/>
        <v>Long</v>
      </c>
      <c r="N335" s="4" t="str">
        <f t="shared" si="38"/>
        <v>Bir</v>
      </c>
      <c r="O335" s="4" t="str">
        <f t="shared" si="39"/>
        <v>RANTHAMBORE</v>
      </c>
      <c r="P335" s="4" t="str">
        <f t="shared" si="40"/>
        <v>Average Service</v>
      </c>
      <c r="Q335" s="4">
        <f t="shared" si="41"/>
        <v>12</v>
      </c>
    </row>
    <row r="336" spans="1:17">
      <c r="A336">
        <v>1335</v>
      </c>
      <c r="B336" t="s">
        <v>31</v>
      </c>
      <c r="C336" t="s">
        <v>23</v>
      </c>
      <c r="D336" t="s">
        <v>19</v>
      </c>
      <c r="E336" s="1">
        <v>45305</v>
      </c>
      <c r="F336">
        <v>198</v>
      </c>
      <c r="G336" t="s">
        <v>38</v>
      </c>
      <c r="H336">
        <v>3.2</v>
      </c>
      <c r="I336">
        <v>359</v>
      </c>
      <c r="J336" t="s">
        <v>30</v>
      </c>
      <c r="K336" t="str">
        <f t="shared" si="35"/>
        <v>Neutral</v>
      </c>
      <c r="L336">
        <f t="shared" si="36"/>
        <v>359</v>
      </c>
      <c r="M336" t="str">
        <f t="shared" si="37"/>
        <v>Very Long</v>
      </c>
      <c r="N336" s="4" t="str">
        <f t="shared" si="38"/>
        <v>Pho</v>
      </c>
      <c r="O336" s="4" t="str">
        <f t="shared" si="39"/>
        <v>BANDHAVGARH</v>
      </c>
      <c r="P336" s="4" t="str">
        <f t="shared" si="40"/>
        <v>Good Guide Support</v>
      </c>
      <c r="Q336" s="4">
        <f t="shared" si="41"/>
        <v>9</v>
      </c>
    </row>
    <row r="337" spans="1:17">
      <c r="A337">
        <v>1336</v>
      </c>
      <c r="B337" t="s">
        <v>22</v>
      </c>
      <c r="C337" t="s">
        <v>28</v>
      </c>
      <c r="D337" t="s">
        <v>53</v>
      </c>
      <c r="E337" s="1">
        <v>45380</v>
      </c>
      <c r="F337">
        <v>32</v>
      </c>
      <c r="G337" t="s">
        <v>20</v>
      </c>
      <c r="H337">
        <v>4.5999999999999996</v>
      </c>
      <c r="I337">
        <v>178</v>
      </c>
      <c r="J337" t="s">
        <v>50</v>
      </c>
      <c r="K337" t="str">
        <f t="shared" si="35"/>
        <v>Good</v>
      </c>
      <c r="L337">
        <f t="shared" si="36"/>
        <v>178</v>
      </c>
      <c r="M337" t="str">
        <f t="shared" si="37"/>
        <v>Medium</v>
      </c>
      <c r="N337" s="4" t="str">
        <f t="shared" si="38"/>
        <v>Boa</v>
      </c>
      <c r="O337" s="4" t="str">
        <f t="shared" si="39"/>
        <v>PERIYAR</v>
      </c>
      <c r="P337" s="4" t="str">
        <f t="shared" si="40"/>
        <v>Saw Rare Species</v>
      </c>
      <c r="Q337" s="4">
        <f t="shared" si="41"/>
        <v>11</v>
      </c>
    </row>
    <row r="338" spans="1:17">
      <c r="A338">
        <v>1337</v>
      </c>
      <c r="B338" t="s">
        <v>121</v>
      </c>
      <c r="C338" t="s">
        <v>18</v>
      </c>
      <c r="D338" t="s">
        <v>48</v>
      </c>
      <c r="E338" s="1">
        <v>45408</v>
      </c>
      <c r="F338">
        <v>128</v>
      </c>
      <c r="G338" t="s">
        <v>20</v>
      </c>
      <c r="H338">
        <v>3.9</v>
      </c>
      <c r="I338">
        <v>448</v>
      </c>
      <c r="J338" t="s">
        <v>66</v>
      </c>
      <c r="K338" t="str">
        <f t="shared" si="35"/>
        <v>Neutral</v>
      </c>
      <c r="L338">
        <f t="shared" si="36"/>
        <v>448</v>
      </c>
      <c r="M338" t="str">
        <f t="shared" si="37"/>
        <v>Long</v>
      </c>
      <c r="N338" s="4" t="str">
        <f t="shared" si="38"/>
        <v>Cam</v>
      </c>
      <c r="O338" s="4" t="str">
        <f t="shared" si="39"/>
        <v>SUNDARBANS</v>
      </c>
      <c r="P338" s="4" t="str">
        <f t="shared" si="40"/>
        <v>Amazing Experience</v>
      </c>
      <c r="Q338" s="4">
        <f t="shared" si="41"/>
        <v>10</v>
      </c>
    </row>
    <row r="339" spans="1:17">
      <c r="A339">
        <v>1338</v>
      </c>
      <c r="B339" t="s">
        <v>119</v>
      </c>
      <c r="C339" t="s">
        <v>34</v>
      </c>
      <c r="D339" t="s">
        <v>19</v>
      </c>
      <c r="E339" s="1">
        <v>45476</v>
      </c>
      <c r="F339">
        <v>227</v>
      </c>
      <c r="G339" t="s">
        <v>20</v>
      </c>
      <c r="H339">
        <v>5</v>
      </c>
      <c r="I339">
        <v>265</v>
      </c>
      <c r="J339" t="s">
        <v>68</v>
      </c>
      <c r="K339" t="str">
        <f t="shared" si="35"/>
        <v>Good</v>
      </c>
      <c r="L339">
        <f t="shared" si="36"/>
        <v>265</v>
      </c>
      <c r="M339" t="str">
        <f t="shared" si="37"/>
        <v>Very Long</v>
      </c>
      <c r="N339" s="4" t="str">
        <f t="shared" si="38"/>
        <v>Pho</v>
      </c>
      <c r="O339" s="4" t="str">
        <f t="shared" si="39"/>
        <v>GIR</v>
      </c>
      <c r="P339" s="4" t="str">
        <f t="shared" si="40"/>
        <v>Average Service</v>
      </c>
      <c r="Q339" s="4">
        <f t="shared" si="41"/>
        <v>10</v>
      </c>
    </row>
    <row r="340" spans="1:17">
      <c r="A340">
        <v>1339</v>
      </c>
      <c r="B340" t="s">
        <v>85</v>
      </c>
      <c r="C340" t="s">
        <v>18</v>
      </c>
      <c r="D340" t="s">
        <v>53</v>
      </c>
      <c r="E340" s="1">
        <v>45557</v>
      </c>
      <c r="F340">
        <v>114</v>
      </c>
      <c r="G340" t="s">
        <v>46</v>
      </c>
      <c r="H340">
        <v>4.3</v>
      </c>
      <c r="I340">
        <v>265</v>
      </c>
      <c r="J340" t="s">
        <v>50</v>
      </c>
      <c r="K340" t="str">
        <f t="shared" si="35"/>
        <v>Good</v>
      </c>
      <c r="L340">
        <f t="shared" si="36"/>
        <v>265</v>
      </c>
      <c r="M340" t="str">
        <f t="shared" si="37"/>
        <v>Long</v>
      </c>
      <c r="N340" s="4" t="str">
        <f t="shared" si="38"/>
        <v>Boa</v>
      </c>
      <c r="O340" s="4" t="str">
        <f t="shared" si="39"/>
        <v>SUNDARBANS</v>
      </c>
      <c r="P340" s="4" t="str">
        <f t="shared" si="40"/>
        <v>Saw Rare Species</v>
      </c>
      <c r="Q340" s="4">
        <f t="shared" si="41"/>
        <v>9</v>
      </c>
    </row>
    <row r="341" spans="1:17">
      <c r="A341">
        <v>1340</v>
      </c>
      <c r="B341" t="s">
        <v>108</v>
      </c>
      <c r="C341" t="s">
        <v>52</v>
      </c>
      <c r="D341" t="s">
        <v>24</v>
      </c>
      <c r="E341" s="1">
        <v>45304</v>
      </c>
      <c r="F341">
        <v>184</v>
      </c>
      <c r="G341" t="s">
        <v>46</v>
      </c>
      <c r="H341">
        <v>3.8</v>
      </c>
      <c r="I341">
        <v>316</v>
      </c>
      <c r="J341" t="s">
        <v>50</v>
      </c>
      <c r="K341" t="str">
        <f t="shared" si="35"/>
        <v>Neutral</v>
      </c>
      <c r="L341">
        <f t="shared" si="36"/>
        <v>316</v>
      </c>
      <c r="M341" t="str">
        <f t="shared" si="37"/>
        <v>Very Long</v>
      </c>
      <c r="N341" s="4" t="str">
        <f t="shared" si="38"/>
        <v>Saf</v>
      </c>
      <c r="O341" s="4" t="str">
        <f t="shared" si="39"/>
        <v>KAZIRANGA</v>
      </c>
      <c r="P341" s="4" t="str">
        <f t="shared" si="40"/>
        <v>Saw Rare Species</v>
      </c>
      <c r="Q341" s="4">
        <f t="shared" si="41"/>
        <v>10</v>
      </c>
    </row>
    <row r="342" spans="1:17">
      <c r="A342">
        <v>1341</v>
      </c>
      <c r="B342" t="s">
        <v>110</v>
      </c>
      <c r="C342" t="s">
        <v>52</v>
      </c>
      <c r="D342" t="s">
        <v>37</v>
      </c>
      <c r="E342" s="1">
        <v>45360</v>
      </c>
      <c r="F342">
        <v>58</v>
      </c>
      <c r="G342" t="s">
        <v>38</v>
      </c>
      <c r="H342">
        <v>4</v>
      </c>
      <c r="I342">
        <v>402</v>
      </c>
      <c r="J342" t="s">
        <v>68</v>
      </c>
      <c r="K342" t="str">
        <f t="shared" si="35"/>
        <v>Neutral</v>
      </c>
      <c r="L342">
        <f t="shared" si="36"/>
        <v>402</v>
      </c>
      <c r="M342" t="str">
        <f t="shared" si="37"/>
        <v>Medium</v>
      </c>
      <c r="N342" s="4" t="str">
        <f t="shared" si="38"/>
        <v>Bir</v>
      </c>
      <c r="O342" s="4" t="str">
        <f t="shared" si="39"/>
        <v>KAZIRANGA</v>
      </c>
      <c r="P342" s="4" t="str">
        <f t="shared" si="40"/>
        <v>Average Service</v>
      </c>
      <c r="Q342" s="4">
        <f t="shared" si="41"/>
        <v>11</v>
      </c>
    </row>
    <row r="343" spans="1:17">
      <c r="A343">
        <v>1342</v>
      </c>
      <c r="B343" t="s">
        <v>123</v>
      </c>
      <c r="C343" t="s">
        <v>18</v>
      </c>
      <c r="D343" t="s">
        <v>19</v>
      </c>
      <c r="E343" s="1">
        <v>45516</v>
      </c>
      <c r="F343">
        <v>228</v>
      </c>
      <c r="G343" t="s">
        <v>46</v>
      </c>
      <c r="H343">
        <v>4.5</v>
      </c>
      <c r="I343">
        <v>236</v>
      </c>
      <c r="J343" t="s">
        <v>54</v>
      </c>
      <c r="K343" t="str">
        <f t="shared" si="35"/>
        <v>Good</v>
      </c>
      <c r="L343">
        <f t="shared" si="36"/>
        <v>236</v>
      </c>
      <c r="M343" t="str">
        <f t="shared" si="37"/>
        <v>Very Long</v>
      </c>
      <c r="N343" s="4" t="str">
        <f t="shared" si="38"/>
        <v>Pho</v>
      </c>
      <c r="O343" s="4" t="str">
        <f t="shared" si="39"/>
        <v>SUNDARBANS</v>
      </c>
      <c r="P343" s="4" t="str">
        <f t="shared" si="40"/>
        <v>Could Be Cleaner</v>
      </c>
      <c r="Q343" s="4">
        <f t="shared" si="41"/>
        <v>11</v>
      </c>
    </row>
    <row r="344" spans="1:17">
      <c r="A344">
        <v>1343</v>
      </c>
      <c r="B344" t="s">
        <v>72</v>
      </c>
      <c r="C344" t="s">
        <v>23</v>
      </c>
      <c r="D344" t="s">
        <v>24</v>
      </c>
      <c r="E344" s="1">
        <v>45599</v>
      </c>
      <c r="F344">
        <v>126</v>
      </c>
      <c r="G344" t="s">
        <v>20</v>
      </c>
      <c r="H344">
        <v>4.5999999999999996</v>
      </c>
      <c r="I344">
        <v>404</v>
      </c>
      <c r="J344" t="s">
        <v>30</v>
      </c>
      <c r="K344" t="str">
        <f t="shared" si="35"/>
        <v>Good</v>
      </c>
      <c r="L344">
        <f t="shared" si="36"/>
        <v>404</v>
      </c>
      <c r="M344" t="str">
        <f t="shared" si="37"/>
        <v>Long</v>
      </c>
      <c r="N344" s="4" t="str">
        <f t="shared" si="38"/>
        <v>Saf</v>
      </c>
      <c r="O344" s="4" t="str">
        <f t="shared" si="39"/>
        <v>BANDHAVGARH</v>
      </c>
      <c r="P344" s="4" t="str">
        <f t="shared" si="40"/>
        <v>Good Guide Support</v>
      </c>
      <c r="Q344" s="4">
        <f t="shared" si="41"/>
        <v>10</v>
      </c>
    </row>
    <row r="345" spans="1:17">
      <c r="A345">
        <v>1344</v>
      </c>
      <c r="B345" t="s">
        <v>117</v>
      </c>
      <c r="C345" t="s">
        <v>41</v>
      </c>
      <c r="D345" t="s">
        <v>24</v>
      </c>
      <c r="E345" s="1">
        <v>45605</v>
      </c>
      <c r="F345">
        <v>162</v>
      </c>
      <c r="G345" t="s">
        <v>25</v>
      </c>
      <c r="H345">
        <v>4.4000000000000004</v>
      </c>
      <c r="I345">
        <v>453</v>
      </c>
      <c r="J345" t="s">
        <v>54</v>
      </c>
      <c r="K345" t="str">
        <f t="shared" si="35"/>
        <v>Good</v>
      </c>
      <c r="L345">
        <f t="shared" si="36"/>
        <v>453</v>
      </c>
      <c r="M345" t="str">
        <f t="shared" si="37"/>
        <v>Long</v>
      </c>
      <c r="N345" s="4" t="str">
        <f t="shared" si="38"/>
        <v>Saf</v>
      </c>
      <c r="O345" s="4" t="str">
        <f t="shared" si="39"/>
        <v>JIM CORBETT</v>
      </c>
      <c r="P345" s="4" t="str">
        <f t="shared" si="40"/>
        <v>Could Be Cleaner</v>
      </c>
      <c r="Q345" s="4">
        <f t="shared" si="41"/>
        <v>11</v>
      </c>
    </row>
    <row r="346" spans="1:17">
      <c r="A346">
        <v>1345</v>
      </c>
      <c r="B346" t="s">
        <v>123</v>
      </c>
      <c r="C346" t="s">
        <v>34</v>
      </c>
      <c r="D346" t="s">
        <v>19</v>
      </c>
      <c r="E346" s="1">
        <v>45372</v>
      </c>
      <c r="F346">
        <v>164</v>
      </c>
      <c r="G346" t="s">
        <v>38</v>
      </c>
      <c r="H346">
        <v>3.7</v>
      </c>
      <c r="I346">
        <v>101</v>
      </c>
      <c r="J346" t="s">
        <v>26</v>
      </c>
      <c r="K346" t="str">
        <f t="shared" si="35"/>
        <v>Neutral</v>
      </c>
      <c r="L346">
        <f t="shared" si="36"/>
        <v>101</v>
      </c>
      <c r="M346" t="str">
        <f t="shared" si="37"/>
        <v>Long</v>
      </c>
      <c r="N346" s="4" t="str">
        <f t="shared" si="38"/>
        <v>Pho</v>
      </c>
      <c r="O346" s="4" t="str">
        <f t="shared" si="39"/>
        <v>GIR</v>
      </c>
      <c r="P346" s="4" t="str">
        <f t="shared" si="40"/>
        <v>Excellent Wildlife View</v>
      </c>
      <c r="Q346" s="4">
        <f t="shared" si="41"/>
        <v>11</v>
      </c>
    </row>
    <row r="347" spans="1:17">
      <c r="A347">
        <v>1346</v>
      </c>
      <c r="B347" t="s">
        <v>142</v>
      </c>
      <c r="C347" t="s">
        <v>18</v>
      </c>
      <c r="D347" t="s">
        <v>48</v>
      </c>
      <c r="E347" s="1">
        <v>45591</v>
      </c>
      <c r="F347">
        <v>91</v>
      </c>
      <c r="G347" t="s">
        <v>20</v>
      </c>
      <c r="H347">
        <v>4.2</v>
      </c>
      <c r="I347">
        <v>364</v>
      </c>
      <c r="J347" t="s">
        <v>35</v>
      </c>
      <c r="K347" t="str">
        <f t="shared" si="35"/>
        <v>Good</v>
      </c>
      <c r="L347">
        <f t="shared" si="36"/>
        <v>364</v>
      </c>
      <c r="M347" t="str">
        <f t="shared" si="37"/>
        <v>Long</v>
      </c>
      <c r="N347" s="4" t="str">
        <f t="shared" si="38"/>
        <v>Cam</v>
      </c>
      <c r="O347" s="4" t="str">
        <f t="shared" si="39"/>
        <v>SUNDARBANS</v>
      </c>
      <c r="P347" s="4" t="str">
        <f t="shared" si="40"/>
        <v>Very Enjoyable</v>
      </c>
      <c r="Q347" s="4">
        <f t="shared" si="41"/>
        <v>11</v>
      </c>
    </row>
    <row r="348" spans="1:17">
      <c r="A348">
        <v>1347</v>
      </c>
      <c r="B348" t="s">
        <v>22</v>
      </c>
      <c r="C348" t="s">
        <v>43</v>
      </c>
      <c r="D348" t="s">
        <v>37</v>
      </c>
      <c r="E348" s="1">
        <v>45544</v>
      </c>
      <c r="F348">
        <v>99</v>
      </c>
      <c r="G348" t="s">
        <v>46</v>
      </c>
      <c r="H348">
        <v>3.6</v>
      </c>
      <c r="I348">
        <v>209</v>
      </c>
      <c r="J348" t="s">
        <v>21</v>
      </c>
      <c r="K348" t="str">
        <f t="shared" si="35"/>
        <v>Neutral</v>
      </c>
      <c r="L348">
        <f t="shared" si="36"/>
        <v>209</v>
      </c>
      <c r="M348" t="str">
        <f t="shared" si="37"/>
        <v>Long</v>
      </c>
      <c r="N348" s="4" t="str">
        <f t="shared" si="38"/>
        <v>Bir</v>
      </c>
      <c r="O348" s="4" t="str">
        <f t="shared" si="39"/>
        <v>RANTHAMBORE</v>
      </c>
      <c r="P348" s="4" t="str">
        <f t="shared" si="40"/>
        <v>Too Crowded</v>
      </c>
      <c r="Q348" s="4">
        <f t="shared" si="41"/>
        <v>11</v>
      </c>
    </row>
    <row r="349" spans="1:17">
      <c r="A349">
        <v>1348</v>
      </c>
      <c r="B349" t="s">
        <v>102</v>
      </c>
      <c r="C349" t="s">
        <v>45</v>
      </c>
      <c r="D349" t="s">
        <v>53</v>
      </c>
      <c r="E349" s="1">
        <v>45610</v>
      </c>
      <c r="F349">
        <v>49</v>
      </c>
      <c r="G349" t="s">
        <v>20</v>
      </c>
      <c r="H349">
        <v>4</v>
      </c>
      <c r="I349">
        <v>151</v>
      </c>
      <c r="J349" t="s">
        <v>30</v>
      </c>
      <c r="K349" t="str">
        <f t="shared" si="35"/>
        <v>Neutral</v>
      </c>
      <c r="L349">
        <f t="shared" si="36"/>
        <v>151</v>
      </c>
      <c r="M349" t="str">
        <f t="shared" si="37"/>
        <v>Medium</v>
      </c>
      <c r="N349" s="4" t="str">
        <f t="shared" si="38"/>
        <v>Boa</v>
      </c>
      <c r="O349" s="4" t="str">
        <f t="shared" si="39"/>
        <v>KANHA</v>
      </c>
      <c r="P349" s="4" t="str">
        <f t="shared" si="40"/>
        <v>Good Guide Support</v>
      </c>
      <c r="Q349" s="4">
        <f t="shared" si="41"/>
        <v>12</v>
      </c>
    </row>
    <row r="350" spans="1:17">
      <c r="A350">
        <v>1349</v>
      </c>
      <c r="B350" t="s">
        <v>17</v>
      </c>
      <c r="C350" t="s">
        <v>45</v>
      </c>
      <c r="D350" t="s">
        <v>29</v>
      </c>
      <c r="E350" s="1">
        <v>45481</v>
      </c>
      <c r="F350">
        <v>142</v>
      </c>
      <c r="G350" t="s">
        <v>38</v>
      </c>
      <c r="H350">
        <v>3.1</v>
      </c>
      <c r="I350">
        <v>140</v>
      </c>
      <c r="J350" t="s">
        <v>32</v>
      </c>
      <c r="K350" t="str">
        <f t="shared" si="35"/>
        <v>Neutral</v>
      </c>
      <c r="L350">
        <f t="shared" si="36"/>
        <v>140</v>
      </c>
      <c r="M350" t="str">
        <f t="shared" si="37"/>
        <v>Long</v>
      </c>
      <c r="N350" s="4" t="str">
        <f t="shared" si="38"/>
        <v>Hik</v>
      </c>
      <c r="O350" s="4" t="str">
        <f t="shared" si="39"/>
        <v>KANHA</v>
      </c>
      <c r="P350" s="4" t="str">
        <f t="shared" si="40"/>
        <v>No Comments</v>
      </c>
      <c r="Q350" s="4">
        <f t="shared" si="41"/>
        <v>11</v>
      </c>
    </row>
    <row r="351" spans="1:17">
      <c r="A351">
        <v>1350</v>
      </c>
      <c r="B351" t="s">
        <v>103</v>
      </c>
      <c r="C351" t="s">
        <v>28</v>
      </c>
      <c r="D351" t="s">
        <v>48</v>
      </c>
      <c r="E351" s="1">
        <v>45464</v>
      </c>
      <c r="F351">
        <v>101</v>
      </c>
      <c r="G351" t="s">
        <v>46</v>
      </c>
      <c r="H351">
        <v>2.8</v>
      </c>
      <c r="I351">
        <v>434</v>
      </c>
      <c r="J351" t="s">
        <v>73</v>
      </c>
      <c r="K351" t="str">
        <f t="shared" si="35"/>
        <v>Bad</v>
      </c>
      <c r="L351">
        <f t="shared" si="36"/>
        <v>434</v>
      </c>
      <c r="M351" t="str">
        <f t="shared" si="37"/>
        <v>Long</v>
      </c>
      <c r="N351" s="4" t="str">
        <f t="shared" si="38"/>
        <v>Cam</v>
      </c>
      <c r="O351" s="4" t="str">
        <f t="shared" si="39"/>
        <v>PERIYAR</v>
      </c>
      <c r="P351" s="4" t="str">
        <f t="shared" si="40"/>
        <v>Peaceful Environment</v>
      </c>
      <c r="Q351" s="4">
        <f t="shared" si="41"/>
        <v>11</v>
      </c>
    </row>
    <row r="352" spans="1:17">
      <c r="A352">
        <v>1351</v>
      </c>
      <c r="B352" t="s">
        <v>130</v>
      </c>
      <c r="C352" t="s">
        <v>43</v>
      </c>
      <c r="D352" t="s">
        <v>37</v>
      </c>
      <c r="E352" s="1">
        <v>45633</v>
      </c>
      <c r="F352">
        <v>144</v>
      </c>
      <c r="G352" t="s">
        <v>46</v>
      </c>
      <c r="H352">
        <v>4.2</v>
      </c>
      <c r="I352">
        <v>459</v>
      </c>
      <c r="J352" t="s">
        <v>68</v>
      </c>
      <c r="K352" t="str">
        <f t="shared" si="35"/>
        <v>Good</v>
      </c>
      <c r="L352">
        <f t="shared" si="36"/>
        <v>459</v>
      </c>
      <c r="M352" t="str">
        <f t="shared" si="37"/>
        <v>Long</v>
      </c>
      <c r="N352" s="4" t="str">
        <f t="shared" si="38"/>
        <v>Bir</v>
      </c>
      <c r="O352" s="4" t="str">
        <f t="shared" si="39"/>
        <v>RANTHAMBORE</v>
      </c>
      <c r="P352" s="4" t="str">
        <f t="shared" si="40"/>
        <v>Average Service</v>
      </c>
      <c r="Q352" s="4">
        <f t="shared" si="41"/>
        <v>9</v>
      </c>
    </row>
    <row r="353" spans="1:17">
      <c r="A353">
        <v>1352</v>
      </c>
      <c r="B353" t="s">
        <v>51</v>
      </c>
      <c r="C353" t="s">
        <v>28</v>
      </c>
      <c r="D353" t="s">
        <v>53</v>
      </c>
      <c r="E353" s="1">
        <v>45533</v>
      </c>
      <c r="F353">
        <v>158</v>
      </c>
      <c r="G353" t="s">
        <v>20</v>
      </c>
      <c r="H353">
        <v>4.7</v>
      </c>
      <c r="I353">
        <v>425</v>
      </c>
      <c r="J353" t="s">
        <v>50</v>
      </c>
      <c r="K353" t="str">
        <f t="shared" si="35"/>
        <v>Good</v>
      </c>
      <c r="L353">
        <f t="shared" si="36"/>
        <v>425</v>
      </c>
      <c r="M353" t="str">
        <f t="shared" si="37"/>
        <v>Long</v>
      </c>
      <c r="N353" s="4" t="str">
        <f t="shared" si="38"/>
        <v>Boa</v>
      </c>
      <c r="O353" s="4" t="str">
        <f t="shared" si="39"/>
        <v>PERIYAR</v>
      </c>
      <c r="P353" s="4" t="str">
        <f t="shared" si="40"/>
        <v>Saw Rare Species</v>
      </c>
      <c r="Q353" s="4">
        <f t="shared" si="41"/>
        <v>11</v>
      </c>
    </row>
    <row r="354" spans="1:17">
      <c r="A354">
        <v>1353</v>
      </c>
      <c r="B354" t="s">
        <v>69</v>
      </c>
      <c r="C354" t="s">
        <v>52</v>
      </c>
      <c r="D354" t="s">
        <v>48</v>
      </c>
      <c r="E354" s="1">
        <v>45522</v>
      </c>
      <c r="F354">
        <v>188</v>
      </c>
      <c r="G354" t="s">
        <v>38</v>
      </c>
      <c r="H354">
        <v>4</v>
      </c>
      <c r="I354">
        <v>313</v>
      </c>
      <c r="J354" t="s">
        <v>50</v>
      </c>
      <c r="K354" t="str">
        <f t="shared" si="35"/>
        <v>Neutral</v>
      </c>
      <c r="L354">
        <f t="shared" si="36"/>
        <v>313</v>
      </c>
      <c r="M354" t="str">
        <f t="shared" si="37"/>
        <v>Very Long</v>
      </c>
      <c r="N354" s="4" t="str">
        <f t="shared" si="38"/>
        <v>Cam</v>
      </c>
      <c r="O354" s="4" t="str">
        <f t="shared" si="39"/>
        <v>KAZIRANGA</v>
      </c>
      <c r="P354" s="4" t="str">
        <f t="shared" si="40"/>
        <v>Saw Rare Species</v>
      </c>
      <c r="Q354" s="4">
        <f t="shared" si="41"/>
        <v>12</v>
      </c>
    </row>
    <row r="355" spans="1:17">
      <c r="A355">
        <v>1354</v>
      </c>
      <c r="B355" t="s">
        <v>92</v>
      </c>
      <c r="C355" t="s">
        <v>41</v>
      </c>
      <c r="D355" t="s">
        <v>53</v>
      </c>
      <c r="E355" s="1">
        <v>45353</v>
      </c>
      <c r="F355">
        <v>145</v>
      </c>
      <c r="G355" t="s">
        <v>20</v>
      </c>
      <c r="H355">
        <v>3.1</v>
      </c>
      <c r="I355">
        <v>381</v>
      </c>
      <c r="J355" t="s">
        <v>66</v>
      </c>
      <c r="K355" t="str">
        <f t="shared" si="35"/>
        <v>Neutral</v>
      </c>
      <c r="L355">
        <f t="shared" si="36"/>
        <v>381</v>
      </c>
      <c r="M355" t="str">
        <f t="shared" si="37"/>
        <v>Long</v>
      </c>
      <c r="N355" s="4" t="str">
        <f t="shared" si="38"/>
        <v>Boa</v>
      </c>
      <c r="O355" s="4" t="str">
        <f t="shared" si="39"/>
        <v>JIM CORBETT</v>
      </c>
      <c r="P355" s="4" t="str">
        <f t="shared" si="40"/>
        <v>Amazing Experience</v>
      </c>
      <c r="Q355" s="4">
        <f t="shared" si="41"/>
        <v>11</v>
      </c>
    </row>
    <row r="356" spans="1:17">
      <c r="A356">
        <v>1355</v>
      </c>
      <c r="B356" t="s">
        <v>117</v>
      </c>
      <c r="C356" t="s">
        <v>52</v>
      </c>
      <c r="D356" t="s">
        <v>37</v>
      </c>
      <c r="E356" s="1">
        <v>45525</v>
      </c>
      <c r="F356">
        <v>70</v>
      </c>
      <c r="G356" t="s">
        <v>46</v>
      </c>
      <c r="H356">
        <v>2.6</v>
      </c>
      <c r="I356">
        <v>416</v>
      </c>
      <c r="J356" t="s">
        <v>30</v>
      </c>
      <c r="K356" t="str">
        <f t="shared" si="35"/>
        <v>Bad</v>
      </c>
      <c r="L356">
        <f t="shared" si="36"/>
        <v>416</v>
      </c>
      <c r="M356" t="str">
        <f t="shared" si="37"/>
        <v>Medium</v>
      </c>
      <c r="N356" s="4" t="str">
        <f t="shared" si="38"/>
        <v>Bir</v>
      </c>
      <c r="O356" s="4" t="str">
        <f t="shared" si="39"/>
        <v>KAZIRANGA</v>
      </c>
      <c r="P356" s="4" t="str">
        <f t="shared" si="40"/>
        <v>Good Guide Support</v>
      </c>
      <c r="Q356" s="4">
        <f t="shared" si="41"/>
        <v>11</v>
      </c>
    </row>
    <row r="357" spans="1:17">
      <c r="A357">
        <v>1356</v>
      </c>
      <c r="B357" t="s">
        <v>130</v>
      </c>
      <c r="C357" t="s">
        <v>43</v>
      </c>
      <c r="D357" t="s">
        <v>24</v>
      </c>
      <c r="E357" s="1">
        <v>45443</v>
      </c>
      <c r="F357">
        <v>22</v>
      </c>
      <c r="G357" t="s">
        <v>38</v>
      </c>
      <c r="H357">
        <v>2.7</v>
      </c>
      <c r="I357">
        <v>263</v>
      </c>
      <c r="J357" t="s">
        <v>32</v>
      </c>
      <c r="K357" t="str">
        <f t="shared" si="35"/>
        <v>Bad</v>
      </c>
      <c r="L357">
        <f t="shared" si="36"/>
        <v>263</v>
      </c>
      <c r="M357" t="str">
        <f t="shared" si="37"/>
        <v>Short</v>
      </c>
      <c r="N357" s="4" t="str">
        <f t="shared" si="38"/>
        <v>Saf</v>
      </c>
      <c r="O357" s="4" t="str">
        <f t="shared" si="39"/>
        <v>RANTHAMBORE</v>
      </c>
      <c r="P357" s="4" t="str">
        <f t="shared" si="40"/>
        <v>No Comments</v>
      </c>
      <c r="Q357" s="4">
        <f t="shared" si="41"/>
        <v>9</v>
      </c>
    </row>
    <row r="358" spans="1:17">
      <c r="A358">
        <v>1357</v>
      </c>
      <c r="B358" t="s">
        <v>94</v>
      </c>
      <c r="C358" t="s">
        <v>45</v>
      </c>
      <c r="D358" t="s">
        <v>24</v>
      </c>
      <c r="E358" s="1">
        <v>45657</v>
      </c>
      <c r="F358">
        <v>36</v>
      </c>
      <c r="G358" t="s">
        <v>20</v>
      </c>
      <c r="H358">
        <v>3.9</v>
      </c>
      <c r="I358">
        <v>115</v>
      </c>
      <c r="J358" t="s">
        <v>54</v>
      </c>
      <c r="K358" t="str">
        <f t="shared" si="35"/>
        <v>Neutral</v>
      </c>
      <c r="L358">
        <f t="shared" si="36"/>
        <v>115</v>
      </c>
      <c r="M358" t="str">
        <f t="shared" si="37"/>
        <v>Medium</v>
      </c>
      <c r="N358" s="4" t="str">
        <f t="shared" si="38"/>
        <v>Saf</v>
      </c>
      <c r="O358" s="4" t="str">
        <f t="shared" si="39"/>
        <v>KANHA</v>
      </c>
      <c r="P358" s="4" t="str">
        <f t="shared" si="40"/>
        <v>Could Be Cleaner</v>
      </c>
      <c r="Q358" s="4">
        <f t="shared" si="41"/>
        <v>9</v>
      </c>
    </row>
    <row r="359" spans="1:17">
      <c r="A359">
        <v>1358</v>
      </c>
      <c r="B359" t="s">
        <v>33</v>
      </c>
      <c r="C359" t="s">
        <v>23</v>
      </c>
      <c r="D359" t="s">
        <v>48</v>
      </c>
      <c r="E359" s="1">
        <v>45336</v>
      </c>
      <c r="F359">
        <v>96</v>
      </c>
      <c r="G359" t="s">
        <v>38</v>
      </c>
      <c r="H359">
        <v>3</v>
      </c>
      <c r="I359">
        <v>162</v>
      </c>
      <c r="J359" t="s">
        <v>54</v>
      </c>
      <c r="K359" t="str">
        <f t="shared" si="35"/>
        <v>Neutral</v>
      </c>
      <c r="L359">
        <f t="shared" si="36"/>
        <v>162</v>
      </c>
      <c r="M359" t="str">
        <f t="shared" si="37"/>
        <v>Long</v>
      </c>
      <c r="N359" s="4" t="str">
        <f t="shared" si="38"/>
        <v>Cam</v>
      </c>
      <c r="O359" s="4" t="str">
        <f t="shared" si="39"/>
        <v>BANDHAVGARH</v>
      </c>
      <c r="P359" s="4" t="str">
        <f t="shared" si="40"/>
        <v>Could Be Cleaner</v>
      </c>
      <c r="Q359" s="4">
        <f t="shared" si="41"/>
        <v>12</v>
      </c>
    </row>
    <row r="360" spans="1:17">
      <c r="A360">
        <v>1359</v>
      </c>
      <c r="B360" t="s">
        <v>115</v>
      </c>
      <c r="C360" t="s">
        <v>18</v>
      </c>
      <c r="D360" t="s">
        <v>37</v>
      </c>
      <c r="E360" s="1">
        <v>45475</v>
      </c>
      <c r="F360">
        <v>205</v>
      </c>
      <c r="G360" t="s">
        <v>38</v>
      </c>
      <c r="H360">
        <v>2.6</v>
      </c>
      <c r="I360">
        <v>464</v>
      </c>
      <c r="J360" t="s">
        <v>26</v>
      </c>
      <c r="K360" t="str">
        <f t="shared" si="35"/>
        <v>Bad</v>
      </c>
      <c r="L360">
        <f t="shared" si="36"/>
        <v>464</v>
      </c>
      <c r="M360" t="str">
        <f t="shared" si="37"/>
        <v>Very Long</v>
      </c>
      <c r="N360" s="4" t="str">
        <f t="shared" si="38"/>
        <v>Bir</v>
      </c>
      <c r="O360" s="4" t="str">
        <f t="shared" si="39"/>
        <v>SUNDARBANS</v>
      </c>
      <c r="P360" s="4" t="str">
        <f t="shared" si="40"/>
        <v>Excellent Wildlife View</v>
      </c>
      <c r="Q360" s="4">
        <f t="shared" si="41"/>
        <v>10</v>
      </c>
    </row>
    <row r="361" spans="1:17">
      <c r="A361">
        <v>1360</v>
      </c>
      <c r="B361" t="s">
        <v>142</v>
      </c>
      <c r="C361" t="s">
        <v>34</v>
      </c>
      <c r="D361" t="s">
        <v>48</v>
      </c>
      <c r="E361" s="1">
        <v>45376</v>
      </c>
      <c r="F361">
        <v>183</v>
      </c>
      <c r="G361" t="s">
        <v>38</v>
      </c>
      <c r="H361">
        <v>3.3</v>
      </c>
      <c r="I361">
        <v>137</v>
      </c>
      <c r="J361" t="s">
        <v>30</v>
      </c>
      <c r="K361" t="str">
        <f t="shared" si="35"/>
        <v>Neutral</v>
      </c>
      <c r="L361">
        <f t="shared" si="36"/>
        <v>137</v>
      </c>
      <c r="M361" t="str">
        <f t="shared" si="37"/>
        <v>Very Long</v>
      </c>
      <c r="N361" s="4" t="str">
        <f t="shared" si="38"/>
        <v>Cam</v>
      </c>
      <c r="O361" s="4" t="str">
        <f t="shared" si="39"/>
        <v>GIR</v>
      </c>
      <c r="P361" s="4" t="str">
        <f t="shared" si="40"/>
        <v>Good Guide Support</v>
      </c>
      <c r="Q361" s="4">
        <f t="shared" si="41"/>
        <v>11</v>
      </c>
    </row>
    <row r="362" spans="1:17">
      <c r="A362">
        <v>1361</v>
      </c>
      <c r="B362" t="s">
        <v>105</v>
      </c>
      <c r="C362" t="s">
        <v>43</v>
      </c>
      <c r="D362" t="s">
        <v>29</v>
      </c>
      <c r="E362" s="1">
        <v>45475</v>
      </c>
      <c r="F362">
        <v>220</v>
      </c>
      <c r="G362" t="s">
        <v>38</v>
      </c>
      <c r="H362">
        <v>5</v>
      </c>
      <c r="I362">
        <v>166</v>
      </c>
      <c r="J362" t="s">
        <v>35</v>
      </c>
      <c r="K362" t="str">
        <f t="shared" si="35"/>
        <v>Good</v>
      </c>
      <c r="L362">
        <f t="shared" si="36"/>
        <v>166</v>
      </c>
      <c r="M362" t="str">
        <f t="shared" si="37"/>
        <v>Very Long</v>
      </c>
      <c r="N362" s="4" t="str">
        <f t="shared" si="38"/>
        <v>Hik</v>
      </c>
      <c r="O362" s="4" t="str">
        <f t="shared" si="39"/>
        <v>RANTHAMBORE</v>
      </c>
      <c r="P362" s="4" t="str">
        <f t="shared" si="40"/>
        <v>Very Enjoyable</v>
      </c>
      <c r="Q362" s="4">
        <f t="shared" si="41"/>
        <v>12</v>
      </c>
    </row>
    <row r="363" spans="1:17">
      <c r="A363">
        <v>1362</v>
      </c>
      <c r="B363" t="s">
        <v>58</v>
      </c>
      <c r="C363" t="s">
        <v>18</v>
      </c>
      <c r="D363" t="s">
        <v>53</v>
      </c>
      <c r="E363" s="1">
        <v>45327</v>
      </c>
      <c r="F363">
        <v>96</v>
      </c>
      <c r="G363" t="s">
        <v>46</v>
      </c>
      <c r="H363">
        <v>4.0999999999999996</v>
      </c>
      <c r="I363">
        <v>228</v>
      </c>
      <c r="J363" t="s">
        <v>50</v>
      </c>
      <c r="K363" t="str">
        <f t="shared" si="35"/>
        <v>Good</v>
      </c>
      <c r="L363">
        <f t="shared" si="36"/>
        <v>228</v>
      </c>
      <c r="M363" t="str">
        <f t="shared" si="37"/>
        <v>Long</v>
      </c>
      <c r="N363" s="4" t="str">
        <f t="shared" si="38"/>
        <v>Boa</v>
      </c>
      <c r="O363" s="4" t="str">
        <f t="shared" si="39"/>
        <v>SUNDARBANS</v>
      </c>
      <c r="P363" s="4" t="str">
        <f t="shared" si="40"/>
        <v>Saw Rare Species</v>
      </c>
      <c r="Q363" s="4">
        <f t="shared" si="41"/>
        <v>10</v>
      </c>
    </row>
    <row r="364" spans="1:17">
      <c r="A364">
        <v>1363</v>
      </c>
      <c r="B364" t="s">
        <v>89</v>
      </c>
      <c r="C364" t="s">
        <v>18</v>
      </c>
      <c r="D364" t="s">
        <v>37</v>
      </c>
      <c r="E364" s="1">
        <v>45440</v>
      </c>
      <c r="F364">
        <v>35</v>
      </c>
      <c r="G364" t="s">
        <v>20</v>
      </c>
      <c r="H364">
        <v>2.7</v>
      </c>
      <c r="I364">
        <v>173</v>
      </c>
      <c r="J364" t="s">
        <v>30</v>
      </c>
      <c r="K364" t="str">
        <f t="shared" si="35"/>
        <v>Bad</v>
      </c>
      <c r="L364">
        <f t="shared" si="36"/>
        <v>173</v>
      </c>
      <c r="M364" t="str">
        <f t="shared" si="37"/>
        <v>Medium</v>
      </c>
      <c r="N364" s="4" t="str">
        <f t="shared" si="38"/>
        <v>Bir</v>
      </c>
      <c r="O364" s="4" t="str">
        <f t="shared" si="39"/>
        <v>SUNDARBANS</v>
      </c>
      <c r="P364" s="4" t="str">
        <f t="shared" si="40"/>
        <v>Good Guide Support</v>
      </c>
      <c r="Q364" s="4">
        <f t="shared" si="41"/>
        <v>11</v>
      </c>
    </row>
    <row r="365" spans="1:17">
      <c r="A365">
        <v>1364</v>
      </c>
      <c r="B365" t="s">
        <v>109</v>
      </c>
      <c r="C365" t="s">
        <v>52</v>
      </c>
      <c r="D365" t="s">
        <v>19</v>
      </c>
      <c r="E365" s="1">
        <v>45469</v>
      </c>
      <c r="F365">
        <v>21</v>
      </c>
      <c r="G365" t="s">
        <v>46</v>
      </c>
      <c r="H365">
        <v>2.9</v>
      </c>
      <c r="I365">
        <v>330</v>
      </c>
      <c r="J365" t="s">
        <v>32</v>
      </c>
      <c r="K365" t="str">
        <f t="shared" si="35"/>
        <v>Bad</v>
      </c>
      <c r="L365">
        <f t="shared" si="36"/>
        <v>330</v>
      </c>
      <c r="M365" t="str">
        <f t="shared" si="37"/>
        <v>Short</v>
      </c>
      <c r="N365" s="4" t="str">
        <f t="shared" si="38"/>
        <v>Pho</v>
      </c>
      <c r="O365" s="4" t="str">
        <f t="shared" si="39"/>
        <v>KAZIRANGA</v>
      </c>
      <c r="P365" s="4" t="str">
        <f t="shared" si="40"/>
        <v>No Comments</v>
      </c>
      <c r="Q365" s="4">
        <f t="shared" si="41"/>
        <v>11</v>
      </c>
    </row>
    <row r="366" spans="1:17">
      <c r="A366">
        <v>1365</v>
      </c>
      <c r="B366" t="s">
        <v>88</v>
      </c>
      <c r="C366" t="s">
        <v>18</v>
      </c>
      <c r="D366" t="s">
        <v>29</v>
      </c>
      <c r="E366" s="1">
        <v>45303</v>
      </c>
      <c r="F366">
        <v>113</v>
      </c>
      <c r="G366" t="s">
        <v>38</v>
      </c>
      <c r="H366">
        <v>4.7</v>
      </c>
      <c r="I366">
        <v>309</v>
      </c>
      <c r="J366" t="s">
        <v>68</v>
      </c>
      <c r="K366" t="str">
        <f t="shared" si="35"/>
        <v>Good</v>
      </c>
      <c r="L366">
        <f t="shared" si="36"/>
        <v>309</v>
      </c>
      <c r="M366" t="str">
        <f t="shared" si="37"/>
        <v>Long</v>
      </c>
      <c r="N366" s="4" t="str">
        <f t="shared" si="38"/>
        <v>Hik</v>
      </c>
      <c r="O366" s="4" t="str">
        <f t="shared" si="39"/>
        <v>SUNDARBANS</v>
      </c>
      <c r="P366" s="4" t="str">
        <f t="shared" si="40"/>
        <v>Average Service</v>
      </c>
      <c r="Q366" s="4">
        <f t="shared" si="41"/>
        <v>13</v>
      </c>
    </row>
    <row r="367" spans="1:17">
      <c r="A367">
        <v>1366</v>
      </c>
      <c r="B367" t="s">
        <v>135</v>
      </c>
      <c r="C367" t="s">
        <v>52</v>
      </c>
      <c r="D367" t="s">
        <v>19</v>
      </c>
      <c r="E367" s="1">
        <v>45417</v>
      </c>
      <c r="F367">
        <v>95</v>
      </c>
      <c r="G367" t="s">
        <v>38</v>
      </c>
      <c r="H367">
        <v>3.2</v>
      </c>
      <c r="I367">
        <v>276</v>
      </c>
      <c r="J367" t="s">
        <v>30</v>
      </c>
      <c r="K367" t="str">
        <f t="shared" si="35"/>
        <v>Neutral</v>
      </c>
      <c r="L367">
        <f t="shared" si="36"/>
        <v>276</v>
      </c>
      <c r="M367" t="str">
        <f t="shared" si="37"/>
        <v>Long</v>
      </c>
      <c r="N367" s="4" t="str">
        <f t="shared" si="38"/>
        <v>Pho</v>
      </c>
      <c r="O367" s="4" t="str">
        <f t="shared" si="39"/>
        <v>KAZIRANGA</v>
      </c>
      <c r="P367" s="4" t="str">
        <f t="shared" si="40"/>
        <v>Good Guide Support</v>
      </c>
      <c r="Q367" s="4">
        <f t="shared" si="41"/>
        <v>11</v>
      </c>
    </row>
    <row r="368" spans="1:17">
      <c r="A368">
        <v>1367</v>
      </c>
      <c r="B368" t="s">
        <v>114</v>
      </c>
      <c r="C368" t="s">
        <v>43</v>
      </c>
      <c r="D368" t="s">
        <v>48</v>
      </c>
      <c r="E368" s="1">
        <v>45524</v>
      </c>
      <c r="F368">
        <v>99</v>
      </c>
      <c r="G368" t="s">
        <v>38</v>
      </c>
      <c r="H368">
        <v>4.5999999999999996</v>
      </c>
      <c r="I368">
        <v>471</v>
      </c>
      <c r="J368" t="s">
        <v>73</v>
      </c>
      <c r="K368" t="str">
        <f t="shared" si="35"/>
        <v>Good</v>
      </c>
      <c r="L368">
        <f t="shared" si="36"/>
        <v>471</v>
      </c>
      <c r="M368" t="str">
        <f t="shared" si="37"/>
        <v>Long</v>
      </c>
      <c r="N368" s="4" t="str">
        <f t="shared" si="38"/>
        <v>Cam</v>
      </c>
      <c r="O368" s="4" t="str">
        <f t="shared" si="39"/>
        <v>RANTHAMBORE</v>
      </c>
      <c r="P368" s="4" t="str">
        <f t="shared" si="40"/>
        <v>Peaceful Environment</v>
      </c>
      <c r="Q368" s="4">
        <f t="shared" si="41"/>
        <v>11</v>
      </c>
    </row>
    <row r="369" spans="1:17">
      <c r="A369">
        <v>1368</v>
      </c>
      <c r="B369" t="s">
        <v>56</v>
      </c>
      <c r="C369" t="s">
        <v>23</v>
      </c>
      <c r="D369" t="s">
        <v>53</v>
      </c>
      <c r="E369" s="1">
        <v>45539</v>
      </c>
      <c r="F369">
        <v>131</v>
      </c>
      <c r="G369" t="s">
        <v>38</v>
      </c>
      <c r="H369">
        <v>3.2</v>
      </c>
      <c r="I369">
        <v>496</v>
      </c>
      <c r="J369" t="s">
        <v>66</v>
      </c>
      <c r="K369" t="str">
        <f t="shared" si="35"/>
        <v>Neutral</v>
      </c>
      <c r="L369">
        <f t="shared" si="36"/>
        <v>496</v>
      </c>
      <c r="M369" t="str">
        <f t="shared" si="37"/>
        <v>Long</v>
      </c>
      <c r="N369" s="4" t="str">
        <f t="shared" si="38"/>
        <v>Boa</v>
      </c>
      <c r="O369" s="4" t="str">
        <f t="shared" si="39"/>
        <v>BANDHAVGARH</v>
      </c>
      <c r="P369" s="4" t="str">
        <f t="shared" si="40"/>
        <v>Amazing Experience</v>
      </c>
      <c r="Q369" s="4">
        <f t="shared" si="41"/>
        <v>12</v>
      </c>
    </row>
    <row r="370" spans="1:17">
      <c r="A370">
        <v>1369</v>
      </c>
      <c r="B370" t="s">
        <v>118</v>
      </c>
      <c r="C370" t="s">
        <v>43</v>
      </c>
      <c r="D370" t="s">
        <v>37</v>
      </c>
      <c r="E370" s="1">
        <v>45353</v>
      </c>
      <c r="F370">
        <v>147</v>
      </c>
      <c r="G370" t="s">
        <v>25</v>
      </c>
      <c r="H370">
        <v>3.1</v>
      </c>
      <c r="I370">
        <v>228</v>
      </c>
      <c r="J370" t="s">
        <v>54</v>
      </c>
      <c r="K370" t="str">
        <f t="shared" si="35"/>
        <v>Neutral</v>
      </c>
      <c r="L370">
        <f t="shared" si="36"/>
        <v>228</v>
      </c>
      <c r="M370" t="str">
        <f t="shared" si="37"/>
        <v>Long</v>
      </c>
      <c r="N370" s="4" t="str">
        <f t="shared" si="38"/>
        <v>Bir</v>
      </c>
      <c r="O370" s="4" t="str">
        <f t="shared" si="39"/>
        <v>RANTHAMBORE</v>
      </c>
      <c r="P370" s="4" t="str">
        <f t="shared" si="40"/>
        <v>Could Be Cleaner</v>
      </c>
      <c r="Q370" s="4">
        <f t="shared" si="41"/>
        <v>12</v>
      </c>
    </row>
    <row r="371" spans="1:17">
      <c r="A371">
        <v>1370</v>
      </c>
      <c r="B371" t="s">
        <v>99</v>
      </c>
      <c r="C371" t="s">
        <v>23</v>
      </c>
      <c r="D371" t="s">
        <v>53</v>
      </c>
      <c r="E371" s="1">
        <v>45392</v>
      </c>
      <c r="F371">
        <v>73</v>
      </c>
      <c r="G371" t="s">
        <v>25</v>
      </c>
      <c r="H371">
        <v>3.8</v>
      </c>
      <c r="I371">
        <v>340</v>
      </c>
      <c r="J371" t="s">
        <v>21</v>
      </c>
      <c r="K371" t="str">
        <f t="shared" si="35"/>
        <v>Neutral</v>
      </c>
      <c r="L371">
        <f t="shared" si="36"/>
        <v>340</v>
      </c>
      <c r="M371" t="str">
        <f t="shared" si="37"/>
        <v>Medium</v>
      </c>
      <c r="N371" s="4" t="str">
        <f t="shared" si="38"/>
        <v>Boa</v>
      </c>
      <c r="O371" s="4" t="str">
        <f t="shared" si="39"/>
        <v>BANDHAVGARH</v>
      </c>
      <c r="P371" s="4" t="str">
        <f t="shared" si="40"/>
        <v>Too Crowded</v>
      </c>
      <c r="Q371" s="4">
        <f t="shared" si="41"/>
        <v>11</v>
      </c>
    </row>
    <row r="372" spans="1:17">
      <c r="A372">
        <v>1371</v>
      </c>
      <c r="B372" t="s">
        <v>36</v>
      </c>
      <c r="C372" t="s">
        <v>52</v>
      </c>
      <c r="D372" t="s">
        <v>29</v>
      </c>
      <c r="E372" s="1">
        <v>45625</v>
      </c>
      <c r="F372">
        <v>238</v>
      </c>
      <c r="G372" t="s">
        <v>20</v>
      </c>
      <c r="H372">
        <v>4.9000000000000004</v>
      </c>
      <c r="I372">
        <v>111</v>
      </c>
      <c r="J372" t="s">
        <v>26</v>
      </c>
      <c r="K372" t="str">
        <f t="shared" si="35"/>
        <v>Good</v>
      </c>
      <c r="L372">
        <f t="shared" si="36"/>
        <v>111</v>
      </c>
      <c r="M372" t="str">
        <f t="shared" si="37"/>
        <v>Very Long</v>
      </c>
      <c r="N372" s="4" t="str">
        <f t="shared" si="38"/>
        <v>Hik</v>
      </c>
      <c r="O372" s="4" t="str">
        <f t="shared" si="39"/>
        <v>KAZIRANGA</v>
      </c>
      <c r="P372" s="4" t="str">
        <f t="shared" si="40"/>
        <v>Excellent Wildlife View</v>
      </c>
      <c r="Q372" s="4">
        <f t="shared" si="41"/>
        <v>12</v>
      </c>
    </row>
    <row r="373" spans="1:17">
      <c r="A373">
        <v>1372</v>
      </c>
      <c r="B373" t="s">
        <v>82</v>
      </c>
      <c r="C373" t="s">
        <v>28</v>
      </c>
      <c r="D373" t="s">
        <v>29</v>
      </c>
      <c r="E373" s="1">
        <v>45498</v>
      </c>
      <c r="F373">
        <v>164</v>
      </c>
      <c r="G373" t="s">
        <v>38</v>
      </c>
      <c r="H373">
        <v>2.6</v>
      </c>
      <c r="I373">
        <v>324</v>
      </c>
      <c r="J373" t="s">
        <v>21</v>
      </c>
      <c r="K373" t="str">
        <f t="shared" si="35"/>
        <v>Bad</v>
      </c>
      <c r="L373">
        <f t="shared" si="36"/>
        <v>324</v>
      </c>
      <c r="M373" t="str">
        <f t="shared" si="37"/>
        <v>Long</v>
      </c>
      <c r="N373" s="4" t="str">
        <f t="shared" si="38"/>
        <v>Hik</v>
      </c>
      <c r="O373" s="4" t="str">
        <f t="shared" si="39"/>
        <v>PERIYAR</v>
      </c>
      <c r="P373" s="4" t="str">
        <f t="shared" si="40"/>
        <v>Too Crowded</v>
      </c>
      <c r="Q373" s="4">
        <f t="shared" si="41"/>
        <v>11</v>
      </c>
    </row>
    <row r="374" spans="1:17">
      <c r="A374">
        <v>1373</v>
      </c>
      <c r="B374" t="s">
        <v>62</v>
      </c>
      <c r="C374" t="s">
        <v>52</v>
      </c>
      <c r="D374" t="s">
        <v>29</v>
      </c>
      <c r="E374" s="1">
        <v>45523</v>
      </c>
      <c r="F374">
        <v>113</v>
      </c>
      <c r="G374" t="s">
        <v>20</v>
      </c>
      <c r="H374">
        <v>3.3</v>
      </c>
      <c r="I374">
        <v>243</v>
      </c>
      <c r="J374" t="s">
        <v>66</v>
      </c>
      <c r="K374" t="str">
        <f t="shared" si="35"/>
        <v>Neutral</v>
      </c>
      <c r="L374">
        <f t="shared" si="36"/>
        <v>243</v>
      </c>
      <c r="M374" t="str">
        <f t="shared" si="37"/>
        <v>Long</v>
      </c>
      <c r="N374" s="4" t="str">
        <f t="shared" si="38"/>
        <v>Hik</v>
      </c>
      <c r="O374" s="4" t="str">
        <f t="shared" si="39"/>
        <v>KAZIRANGA</v>
      </c>
      <c r="P374" s="4" t="str">
        <f t="shared" si="40"/>
        <v>Amazing Experience</v>
      </c>
      <c r="Q374" s="4">
        <f t="shared" si="41"/>
        <v>10</v>
      </c>
    </row>
    <row r="375" spans="1:17">
      <c r="A375">
        <v>1374</v>
      </c>
      <c r="B375" t="s">
        <v>143</v>
      </c>
      <c r="C375" t="s">
        <v>41</v>
      </c>
      <c r="D375" t="s">
        <v>48</v>
      </c>
      <c r="E375" s="1">
        <v>45571</v>
      </c>
      <c r="F375">
        <v>117</v>
      </c>
      <c r="G375" t="s">
        <v>46</v>
      </c>
      <c r="H375">
        <v>3.1</v>
      </c>
      <c r="I375">
        <v>421</v>
      </c>
      <c r="J375" t="s">
        <v>68</v>
      </c>
      <c r="K375" t="str">
        <f t="shared" si="35"/>
        <v>Neutral</v>
      </c>
      <c r="L375">
        <f t="shared" si="36"/>
        <v>421</v>
      </c>
      <c r="M375" t="str">
        <f t="shared" si="37"/>
        <v>Long</v>
      </c>
      <c r="N375" s="4" t="str">
        <f t="shared" si="38"/>
        <v>Cam</v>
      </c>
      <c r="O375" s="4" t="str">
        <f t="shared" si="39"/>
        <v>JIM CORBETT</v>
      </c>
      <c r="P375" s="4" t="str">
        <f t="shared" si="40"/>
        <v>Average Service</v>
      </c>
      <c r="Q375" s="4">
        <f t="shared" si="41"/>
        <v>10</v>
      </c>
    </row>
    <row r="376" spans="1:17">
      <c r="A376">
        <v>1375</v>
      </c>
      <c r="B376" t="s">
        <v>84</v>
      </c>
      <c r="C376" t="s">
        <v>34</v>
      </c>
      <c r="D376" t="s">
        <v>24</v>
      </c>
      <c r="E376" s="1">
        <v>45331</v>
      </c>
      <c r="F376">
        <v>154</v>
      </c>
      <c r="G376" t="s">
        <v>38</v>
      </c>
      <c r="H376">
        <v>4.0999999999999996</v>
      </c>
      <c r="I376">
        <v>471</v>
      </c>
      <c r="J376" t="s">
        <v>30</v>
      </c>
      <c r="K376" t="str">
        <f t="shared" si="35"/>
        <v>Good</v>
      </c>
      <c r="L376">
        <f t="shared" si="36"/>
        <v>471</v>
      </c>
      <c r="M376" t="str">
        <f t="shared" si="37"/>
        <v>Long</v>
      </c>
      <c r="N376" s="4" t="str">
        <f t="shared" si="38"/>
        <v>Saf</v>
      </c>
      <c r="O376" s="4" t="str">
        <f t="shared" si="39"/>
        <v>GIR</v>
      </c>
      <c r="P376" s="4" t="str">
        <f t="shared" si="40"/>
        <v>Good Guide Support</v>
      </c>
      <c r="Q376" s="4">
        <f t="shared" si="41"/>
        <v>12</v>
      </c>
    </row>
    <row r="377" spans="1:17">
      <c r="A377">
        <v>1376</v>
      </c>
      <c r="B377" t="s">
        <v>70</v>
      </c>
      <c r="C377" t="s">
        <v>43</v>
      </c>
      <c r="D377" t="s">
        <v>29</v>
      </c>
      <c r="E377" s="1">
        <v>45547</v>
      </c>
      <c r="F377">
        <v>50</v>
      </c>
      <c r="G377" t="s">
        <v>46</v>
      </c>
      <c r="H377">
        <v>4.7</v>
      </c>
      <c r="I377">
        <v>263</v>
      </c>
      <c r="J377" t="s">
        <v>30</v>
      </c>
      <c r="K377" t="str">
        <f t="shared" si="35"/>
        <v>Good</v>
      </c>
      <c r="L377">
        <f t="shared" si="36"/>
        <v>263</v>
      </c>
      <c r="M377" t="str">
        <f t="shared" si="37"/>
        <v>Medium</v>
      </c>
      <c r="N377" s="4" t="str">
        <f t="shared" si="38"/>
        <v>Hik</v>
      </c>
      <c r="O377" s="4" t="str">
        <f t="shared" si="39"/>
        <v>RANTHAMBORE</v>
      </c>
      <c r="P377" s="4" t="str">
        <f t="shared" si="40"/>
        <v>Good Guide Support</v>
      </c>
      <c r="Q377" s="4">
        <f t="shared" si="41"/>
        <v>12</v>
      </c>
    </row>
    <row r="378" spans="1:17">
      <c r="A378">
        <v>1377</v>
      </c>
      <c r="B378" t="s">
        <v>40</v>
      </c>
      <c r="C378" t="s">
        <v>34</v>
      </c>
      <c r="D378" t="s">
        <v>24</v>
      </c>
      <c r="E378" s="1">
        <v>45424</v>
      </c>
      <c r="F378">
        <v>58</v>
      </c>
      <c r="G378" t="s">
        <v>20</v>
      </c>
      <c r="H378">
        <v>3.8</v>
      </c>
      <c r="I378">
        <v>123</v>
      </c>
      <c r="J378" t="s">
        <v>73</v>
      </c>
      <c r="K378" t="str">
        <f t="shared" si="35"/>
        <v>Neutral</v>
      </c>
      <c r="L378">
        <f t="shared" si="36"/>
        <v>123</v>
      </c>
      <c r="M378" t="str">
        <f t="shared" si="37"/>
        <v>Medium</v>
      </c>
      <c r="N378" s="4" t="str">
        <f t="shared" si="38"/>
        <v>Saf</v>
      </c>
      <c r="O378" s="4" t="str">
        <f t="shared" si="39"/>
        <v>GIR</v>
      </c>
      <c r="P378" s="4" t="str">
        <f t="shared" si="40"/>
        <v>Peaceful Environment</v>
      </c>
      <c r="Q378" s="4">
        <f t="shared" si="41"/>
        <v>11</v>
      </c>
    </row>
    <row r="379" spans="1:17">
      <c r="A379">
        <v>1378</v>
      </c>
      <c r="B379" t="s">
        <v>77</v>
      </c>
      <c r="C379" t="s">
        <v>41</v>
      </c>
      <c r="D379" t="s">
        <v>53</v>
      </c>
      <c r="E379" s="1">
        <v>45393</v>
      </c>
      <c r="F379">
        <v>165</v>
      </c>
      <c r="G379" t="s">
        <v>46</v>
      </c>
      <c r="H379">
        <v>3.8</v>
      </c>
      <c r="I379">
        <v>128</v>
      </c>
      <c r="J379" t="s">
        <v>26</v>
      </c>
      <c r="K379" t="str">
        <f t="shared" si="35"/>
        <v>Neutral</v>
      </c>
      <c r="L379">
        <f t="shared" si="36"/>
        <v>128</v>
      </c>
      <c r="M379" t="str">
        <f t="shared" si="37"/>
        <v>Long</v>
      </c>
      <c r="N379" s="4" t="str">
        <f t="shared" si="38"/>
        <v>Boa</v>
      </c>
      <c r="O379" s="4" t="str">
        <f t="shared" si="39"/>
        <v>JIM CORBETT</v>
      </c>
      <c r="P379" s="4" t="str">
        <f t="shared" si="40"/>
        <v>Excellent Wildlife View</v>
      </c>
      <c r="Q379" s="4">
        <f t="shared" si="41"/>
        <v>10</v>
      </c>
    </row>
    <row r="380" spans="1:17">
      <c r="A380">
        <v>1379</v>
      </c>
      <c r="B380" t="s">
        <v>49</v>
      </c>
      <c r="C380" t="s">
        <v>45</v>
      </c>
      <c r="D380" t="s">
        <v>37</v>
      </c>
      <c r="E380" s="1">
        <v>45440</v>
      </c>
      <c r="F380">
        <v>22</v>
      </c>
      <c r="G380" t="s">
        <v>46</v>
      </c>
      <c r="H380">
        <v>3.4</v>
      </c>
      <c r="I380">
        <v>342</v>
      </c>
      <c r="J380" t="s">
        <v>66</v>
      </c>
      <c r="K380" t="str">
        <f t="shared" si="35"/>
        <v>Neutral</v>
      </c>
      <c r="L380">
        <f t="shared" si="36"/>
        <v>342</v>
      </c>
      <c r="M380" t="str">
        <f t="shared" si="37"/>
        <v>Short</v>
      </c>
      <c r="N380" s="4" t="str">
        <f t="shared" si="38"/>
        <v>Bir</v>
      </c>
      <c r="O380" s="4" t="str">
        <f t="shared" si="39"/>
        <v>KANHA</v>
      </c>
      <c r="P380" s="4" t="str">
        <f t="shared" si="40"/>
        <v>Amazing Experience</v>
      </c>
      <c r="Q380" s="4">
        <f t="shared" si="41"/>
        <v>11</v>
      </c>
    </row>
    <row r="381" spans="1:17">
      <c r="A381">
        <v>1380</v>
      </c>
      <c r="B381" t="s">
        <v>121</v>
      </c>
      <c r="C381" t="s">
        <v>18</v>
      </c>
      <c r="D381" t="s">
        <v>29</v>
      </c>
      <c r="E381" s="1">
        <v>45444</v>
      </c>
      <c r="F381">
        <v>77</v>
      </c>
      <c r="G381" t="s">
        <v>46</v>
      </c>
      <c r="H381">
        <v>4</v>
      </c>
      <c r="I381">
        <v>295</v>
      </c>
      <c r="J381" t="s">
        <v>66</v>
      </c>
      <c r="K381" t="str">
        <f t="shared" si="35"/>
        <v>Neutral</v>
      </c>
      <c r="L381">
        <f t="shared" si="36"/>
        <v>295</v>
      </c>
      <c r="M381" t="str">
        <f t="shared" si="37"/>
        <v>Medium</v>
      </c>
      <c r="N381" s="4" t="str">
        <f t="shared" si="38"/>
        <v>Hik</v>
      </c>
      <c r="O381" s="4" t="str">
        <f t="shared" si="39"/>
        <v>SUNDARBANS</v>
      </c>
      <c r="P381" s="4" t="str">
        <f t="shared" si="40"/>
        <v>Amazing Experience</v>
      </c>
      <c r="Q381" s="4">
        <f t="shared" si="41"/>
        <v>10</v>
      </c>
    </row>
    <row r="382" spans="1:17">
      <c r="A382">
        <v>1381</v>
      </c>
      <c r="B382" t="s">
        <v>77</v>
      </c>
      <c r="C382" t="s">
        <v>43</v>
      </c>
      <c r="D382" t="s">
        <v>37</v>
      </c>
      <c r="E382" s="1">
        <v>45439</v>
      </c>
      <c r="F382">
        <v>43</v>
      </c>
      <c r="G382" t="s">
        <v>46</v>
      </c>
      <c r="H382">
        <v>3.9</v>
      </c>
      <c r="I382">
        <v>387</v>
      </c>
      <c r="J382" t="s">
        <v>54</v>
      </c>
      <c r="K382" t="str">
        <f t="shared" si="35"/>
        <v>Neutral</v>
      </c>
      <c r="L382">
        <f t="shared" si="36"/>
        <v>387</v>
      </c>
      <c r="M382" t="str">
        <f t="shared" si="37"/>
        <v>Medium</v>
      </c>
      <c r="N382" s="4" t="str">
        <f t="shared" si="38"/>
        <v>Bir</v>
      </c>
      <c r="O382" s="4" t="str">
        <f t="shared" si="39"/>
        <v>RANTHAMBORE</v>
      </c>
      <c r="P382" s="4" t="str">
        <f t="shared" si="40"/>
        <v>Could Be Cleaner</v>
      </c>
      <c r="Q382" s="4">
        <f t="shared" si="41"/>
        <v>10</v>
      </c>
    </row>
    <row r="383" spans="1:17">
      <c r="A383">
        <v>1382</v>
      </c>
      <c r="B383" t="s">
        <v>90</v>
      </c>
      <c r="C383" t="s">
        <v>18</v>
      </c>
      <c r="D383" t="s">
        <v>37</v>
      </c>
      <c r="E383" s="1">
        <v>45513</v>
      </c>
      <c r="F383">
        <v>239</v>
      </c>
      <c r="G383" t="s">
        <v>20</v>
      </c>
      <c r="H383">
        <v>2.6</v>
      </c>
      <c r="I383">
        <v>316</v>
      </c>
      <c r="J383" t="s">
        <v>54</v>
      </c>
      <c r="K383" t="str">
        <f t="shared" si="35"/>
        <v>Bad</v>
      </c>
      <c r="L383">
        <f t="shared" si="36"/>
        <v>316</v>
      </c>
      <c r="M383" t="str">
        <f t="shared" si="37"/>
        <v>Very Long</v>
      </c>
      <c r="N383" s="4" t="str">
        <f t="shared" si="38"/>
        <v>Bir</v>
      </c>
      <c r="O383" s="4" t="str">
        <f t="shared" si="39"/>
        <v>SUNDARBANS</v>
      </c>
      <c r="P383" s="4" t="str">
        <f t="shared" si="40"/>
        <v>Could Be Cleaner</v>
      </c>
      <c r="Q383" s="4">
        <f t="shared" si="41"/>
        <v>12</v>
      </c>
    </row>
    <row r="384" spans="1:17">
      <c r="A384">
        <v>1383</v>
      </c>
      <c r="B384" t="s">
        <v>36</v>
      </c>
      <c r="C384" t="s">
        <v>18</v>
      </c>
      <c r="D384" t="s">
        <v>53</v>
      </c>
      <c r="E384" s="1">
        <v>45610</v>
      </c>
      <c r="F384">
        <v>131</v>
      </c>
      <c r="G384" t="s">
        <v>46</v>
      </c>
      <c r="H384">
        <v>4.8</v>
      </c>
      <c r="I384">
        <v>247</v>
      </c>
      <c r="J384" t="s">
        <v>26</v>
      </c>
      <c r="K384" t="str">
        <f t="shared" si="35"/>
        <v>Good</v>
      </c>
      <c r="L384">
        <f t="shared" si="36"/>
        <v>247</v>
      </c>
      <c r="M384" t="str">
        <f t="shared" si="37"/>
        <v>Long</v>
      </c>
      <c r="N384" s="4" t="str">
        <f t="shared" si="38"/>
        <v>Boa</v>
      </c>
      <c r="O384" s="4" t="str">
        <f t="shared" si="39"/>
        <v>SUNDARBANS</v>
      </c>
      <c r="P384" s="4" t="str">
        <f t="shared" si="40"/>
        <v>Excellent Wildlife View</v>
      </c>
      <c r="Q384" s="4">
        <f t="shared" si="41"/>
        <v>12</v>
      </c>
    </row>
    <row r="385" spans="1:17">
      <c r="A385">
        <v>1384</v>
      </c>
      <c r="B385" t="s">
        <v>133</v>
      </c>
      <c r="C385" t="s">
        <v>43</v>
      </c>
      <c r="D385" t="s">
        <v>24</v>
      </c>
      <c r="E385" s="1">
        <v>45576</v>
      </c>
      <c r="F385">
        <v>204</v>
      </c>
      <c r="G385" t="s">
        <v>38</v>
      </c>
      <c r="H385">
        <v>3.7</v>
      </c>
      <c r="I385">
        <v>299</v>
      </c>
      <c r="J385" t="s">
        <v>66</v>
      </c>
      <c r="K385" t="str">
        <f t="shared" si="35"/>
        <v>Neutral</v>
      </c>
      <c r="L385">
        <f t="shared" si="36"/>
        <v>299</v>
      </c>
      <c r="M385" t="str">
        <f t="shared" si="37"/>
        <v>Very Long</v>
      </c>
      <c r="N385" s="4" t="str">
        <f t="shared" si="38"/>
        <v>Saf</v>
      </c>
      <c r="O385" s="4" t="str">
        <f t="shared" si="39"/>
        <v>RANTHAMBORE</v>
      </c>
      <c r="P385" s="4" t="str">
        <f t="shared" si="40"/>
        <v>Amazing Experience</v>
      </c>
      <c r="Q385" s="4">
        <f t="shared" si="41"/>
        <v>12</v>
      </c>
    </row>
    <row r="386" spans="1:17">
      <c r="A386">
        <v>1385</v>
      </c>
      <c r="B386" t="s">
        <v>64</v>
      </c>
      <c r="C386" t="s">
        <v>52</v>
      </c>
      <c r="D386" t="s">
        <v>48</v>
      </c>
      <c r="E386" s="1">
        <v>45513</v>
      </c>
      <c r="F386">
        <v>210</v>
      </c>
      <c r="G386" t="s">
        <v>20</v>
      </c>
      <c r="H386">
        <v>3.4</v>
      </c>
      <c r="I386">
        <v>393</v>
      </c>
      <c r="J386" t="s">
        <v>26</v>
      </c>
      <c r="K386" t="str">
        <f t="shared" ref="K386:K449" si="42">IF(H386&gt;4,"Good",IF(H386&gt;=3,"Neutral","Bad"))</f>
        <v>Neutral</v>
      </c>
      <c r="L386">
        <f t="shared" ref="L386:L449" si="43">ROUND(I386,0)</f>
        <v>393</v>
      </c>
      <c r="M386" t="str">
        <f t="shared" ref="M386:M449" si="44">IF(F386&lt;30,"Short",IF(F386&lt;90,"Medium",IF(F386&lt;180,"Long","Very Long")))</f>
        <v>Very Long</v>
      </c>
      <c r="N386" s="4" t="str">
        <f t="shared" ref="N386:N449" si="45">LEFT(D386,3)</f>
        <v>Cam</v>
      </c>
      <c r="O386" s="4" t="str">
        <f t="shared" ref="O386:O449" si="46">UPPER(C386)</f>
        <v>KAZIRANGA</v>
      </c>
      <c r="P386" s="4" t="str">
        <f t="shared" ref="P386:P449" si="47">PROPER(J386)</f>
        <v>Excellent Wildlife View</v>
      </c>
      <c r="Q386" s="4">
        <f t="shared" ref="Q386:Q449" si="48">LEN(B386)</f>
        <v>11</v>
      </c>
    </row>
    <row r="387" spans="1:17">
      <c r="A387">
        <v>1386</v>
      </c>
      <c r="B387" t="s">
        <v>82</v>
      </c>
      <c r="C387" t="s">
        <v>23</v>
      </c>
      <c r="D387" t="s">
        <v>19</v>
      </c>
      <c r="E387" s="1">
        <v>45396</v>
      </c>
      <c r="F387">
        <v>200</v>
      </c>
      <c r="G387" t="s">
        <v>46</v>
      </c>
      <c r="H387">
        <v>3.5</v>
      </c>
      <c r="I387">
        <v>443</v>
      </c>
      <c r="J387" t="s">
        <v>54</v>
      </c>
      <c r="K387" t="str">
        <f t="shared" si="42"/>
        <v>Neutral</v>
      </c>
      <c r="L387">
        <f t="shared" si="43"/>
        <v>443</v>
      </c>
      <c r="M387" t="str">
        <f t="shared" si="44"/>
        <v>Very Long</v>
      </c>
      <c r="N387" s="4" t="str">
        <f t="shared" si="45"/>
        <v>Pho</v>
      </c>
      <c r="O387" s="4" t="str">
        <f t="shared" si="46"/>
        <v>BANDHAVGARH</v>
      </c>
      <c r="P387" s="4" t="str">
        <f t="shared" si="47"/>
        <v>Could Be Cleaner</v>
      </c>
      <c r="Q387" s="4">
        <f t="shared" si="48"/>
        <v>11</v>
      </c>
    </row>
    <row r="388" spans="1:17">
      <c r="A388">
        <v>1387</v>
      </c>
      <c r="B388" t="s">
        <v>90</v>
      </c>
      <c r="C388" t="s">
        <v>18</v>
      </c>
      <c r="D388" t="s">
        <v>24</v>
      </c>
      <c r="E388" s="1">
        <v>45598</v>
      </c>
      <c r="F388">
        <v>195</v>
      </c>
      <c r="G388" t="s">
        <v>38</v>
      </c>
      <c r="H388">
        <v>4.0999999999999996</v>
      </c>
      <c r="I388">
        <v>147</v>
      </c>
      <c r="J388" t="s">
        <v>54</v>
      </c>
      <c r="K388" t="str">
        <f t="shared" si="42"/>
        <v>Good</v>
      </c>
      <c r="L388">
        <f t="shared" si="43"/>
        <v>147</v>
      </c>
      <c r="M388" t="str">
        <f t="shared" si="44"/>
        <v>Very Long</v>
      </c>
      <c r="N388" s="4" t="str">
        <f t="shared" si="45"/>
        <v>Saf</v>
      </c>
      <c r="O388" s="4" t="str">
        <f t="shared" si="46"/>
        <v>SUNDARBANS</v>
      </c>
      <c r="P388" s="4" t="str">
        <f t="shared" si="47"/>
        <v>Could Be Cleaner</v>
      </c>
      <c r="Q388" s="4">
        <f t="shared" si="48"/>
        <v>12</v>
      </c>
    </row>
    <row r="389" spans="1:17">
      <c r="A389">
        <v>1388</v>
      </c>
      <c r="B389" t="s">
        <v>144</v>
      </c>
      <c r="C389" t="s">
        <v>41</v>
      </c>
      <c r="D389" t="s">
        <v>53</v>
      </c>
      <c r="E389" s="1">
        <v>45333</v>
      </c>
      <c r="F389">
        <v>198</v>
      </c>
      <c r="G389" t="s">
        <v>46</v>
      </c>
      <c r="H389">
        <v>3.9</v>
      </c>
      <c r="I389">
        <v>208</v>
      </c>
      <c r="J389" t="s">
        <v>30</v>
      </c>
      <c r="K389" t="str">
        <f t="shared" si="42"/>
        <v>Neutral</v>
      </c>
      <c r="L389">
        <f t="shared" si="43"/>
        <v>208</v>
      </c>
      <c r="M389" t="str">
        <f t="shared" si="44"/>
        <v>Very Long</v>
      </c>
      <c r="N389" s="4" t="str">
        <f t="shared" si="45"/>
        <v>Boa</v>
      </c>
      <c r="O389" s="4" t="str">
        <f t="shared" si="46"/>
        <v>JIM CORBETT</v>
      </c>
      <c r="P389" s="4" t="str">
        <f t="shared" si="47"/>
        <v>Good Guide Support</v>
      </c>
      <c r="Q389" s="4">
        <f t="shared" si="48"/>
        <v>9</v>
      </c>
    </row>
    <row r="390" spans="1:17">
      <c r="A390">
        <v>1389</v>
      </c>
      <c r="B390" t="s">
        <v>105</v>
      </c>
      <c r="C390" t="s">
        <v>18</v>
      </c>
      <c r="D390" t="s">
        <v>37</v>
      </c>
      <c r="E390" s="1">
        <v>45348</v>
      </c>
      <c r="F390">
        <v>137</v>
      </c>
      <c r="G390" t="s">
        <v>38</v>
      </c>
      <c r="H390">
        <v>3.9</v>
      </c>
      <c r="I390">
        <v>141</v>
      </c>
      <c r="J390" t="s">
        <v>35</v>
      </c>
      <c r="K390" t="str">
        <f t="shared" si="42"/>
        <v>Neutral</v>
      </c>
      <c r="L390">
        <f t="shared" si="43"/>
        <v>141</v>
      </c>
      <c r="M390" t="str">
        <f t="shared" si="44"/>
        <v>Long</v>
      </c>
      <c r="N390" s="4" t="str">
        <f t="shared" si="45"/>
        <v>Bir</v>
      </c>
      <c r="O390" s="4" t="str">
        <f t="shared" si="46"/>
        <v>SUNDARBANS</v>
      </c>
      <c r="P390" s="4" t="str">
        <f t="shared" si="47"/>
        <v>Very Enjoyable</v>
      </c>
      <c r="Q390" s="4">
        <f t="shared" si="48"/>
        <v>12</v>
      </c>
    </row>
    <row r="391" spans="1:17">
      <c r="A391">
        <v>1390</v>
      </c>
      <c r="B391" t="s">
        <v>95</v>
      </c>
      <c r="C391" t="s">
        <v>45</v>
      </c>
      <c r="D391" t="s">
        <v>48</v>
      </c>
      <c r="E391" s="1">
        <v>45511</v>
      </c>
      <c r="F391">
        <v>117</v>
      </c>
      <c r="G391" t="s">
        <v>25</v>
      </c>
      <c r="H391">
        <v>2.8</v>
      </c>
      <c r="I391">
        <v>225</v>
      </c>
      <c r="J391" t="s">
        <v>30</v>
      </c>
      <c r="K391" t="str">
        <f t="shared" si="42"/>
        <v>Bad</v>
      </c>
      <c r="L391">
        <f t="shared" si="43"/>
        <v>225</v>
      </c>
      <c r="M391" t="str">
        <f t="shared" si="44"/>
        <v>Long</v>
      </c>
      <c r="N391" s="4" t="str">
        <f t="shared" si="45"/>
        <v>Cam</v>
      </c>
      <c r="O391" s="4" t="str">
        <f t="shared" si="46"/>
        <v>KANHA</v>
      </c>
      <c r="P391" s="4" t="str">
        <f t="shared" si="47"/>
        <v>Good Guide Support</v>
      </c>
      <c r="Q391" s="4">
        <f t="shared" si="48"/>
        <v>11</v>
      </c>
    </row>
    <row r="392" spans="1:17">
      <c r="A392">
        <v>1391</v>
      </c>
      <c r="B392" t="s">
        <v>51</v>
      </c>
      <c r="C392" t="s">
        <v>43</v>
      </c>
      <c r="D392" t="s">
        <v>53</v>
      </c>
      <c r="E392" s="1">
        <v>45395</v>
      </c>
      <c r="F392">
        <v>193</v>
      </c>
      <c r="G392" t="s">
        <v>38</v>
      </c>
      <c r="H392">
        <v>3.9</v>
      </c>
      <c r="I392">
        <v>183</v>
      </c>
      <c r="J392" t="s">
        <v>32</v>
      </c>
      <c r="K392" t="str">
        <f t="shared" si="42"/>
        <v>Neutral</v>
      </c>
      <c r="L392">
        <f t="shared" si="43"/>
        <v>183</v>
      </c>
      <c r="M392" t="str">
        <f t="shared" si="44"/>
        <v>Very Long</v>
      </c>
      <c r="N392" s="4" t="str">
        <f t="shared" si="45"/>
        <v>Boa</v>
      </c>
      <c r="O392" s="4" t="str">
        <f t="shared" si="46"/>
        <v>RANTHAMBORE</v>
      </c>
      <c r="P392" s="4" t="str">
        <f t="shared" si="47"/>
        <v>No Comments</v>
      </c>
      <c r="Q392" s="4">
        <f t="shared" si="48"/>
        <v>11</v>
      </c>
    </row>
    <row r="393" spans="1:17">
      <c r="A393">
        <v>1392</v>
      </c>
      <c r="B393" t="s">
        <v>88</v>
      </c>
      <c r="C393" t="s">
        <v>52</v>
      </c>
      <c r="D393" t="s">
        <v>48</v>
      </c>
      <c r="E393" s="1">
        <v>45468</v>
      </c>
      <c r="F393">
        <v>238</v>
      </c>
      <c r="G393" t="s">
        <v>46</v>
      </c>
      <c r="H393">
        <v>2.9</v>
      </c>
      <c r="I393">
        <v>332</v>
      </c>
      <c r="J393" t="s">
        <v>73</v>
      </c>
      <c r="K393" t="str">
        <f t="shared" si="42"/>
        <v>Bad</v>
      </c>
      <c r="L393">
        <f t="shared" si="43"/>
        <v>332</v>
      </c>
      <c r="M393" t="str">
        <f t="shared" si="44"/>
        <v>Very Long</v>
      </c>
      <c r="N393" s="4" t="str">
        <f t="shared" si="45"/>
        <v>Cam</v>
      </c>
      <c r="O393" s="4" t="str">
        <f t="shared" si="46"/>
        <v>KAZIRANGA</v>
      </c>
      <c r="P393" s="4" t="str">
        <f t="shared" si="47"/>
        <v>Peaceful Environment</v>
      </c>
      <c r="Q393" s="4">
        <f t="shared" si="48"/>
        <v>13</v>
      </c>
    </row>
    <row r="394" spans="1:17">
      <c r="A394">
        <v>1393</v>
      </c>
      <c r="B394" t="s">
        <v>128</v>
      </c>
      <c r="C394" t="s">
        <v>43</v>
      </c>
      <c r="D394" t="s">
        <v>37</v>
      </c>
      <c r="E394" s="1">
        <v>45320</v>
      </c>
      <c r="F394">
        <v>126</v>
      </c>
      <c r="G394" t="s">
        <v>25</v>
      </c>
      <c r="H394">
        <v>5</v>
      </c>
      <c r="I394">
        <v>212</v>
      </c>
      <c r="J394" t="s">
        <v>50</v>
      </c>
      <c r="K394" t="str">
        <f t="shared" si="42"/>
        <v>Good</v>
      </c>
      <c r="L394">
        <f t="shared" si="43"/>
        <v>212</v>
      </c>
      <c r="M394" t="str">
        <f t="shared" si="44"/>
        <v>Long</v>
      </c>
      <c r="N394" s="4" t="str">
        <f t="shared" si="45"/>
        <v>Bir</v>
      </c>
      <c r="O394" s="4" t="str">
        <f t="shared" si="46"/>
        <v>RANTHAMBORE</v>
      </c>
      <c r="P394" s="4" t="str">
        <f t="shared" si="47"/>
        <v>Saw Rare Species</v>
      </c>
      <c r="Q394" s="4">
        <f t="shared" si="48"/>
        <v>11</v>
      </c>
    </row>
    <row r="395" spans="1:17">
      <c r="A395">
        <v>1394</v>
      </c>
      <c r="B395" t="s">
        <v>81</v>
      </c>
      <c r="C395" t="s">
        <v>43</v>
      </c>
      <c r="D395" t="s">
        <v>48</v>
      </c>
      <c r="E395" s="1">
        <v>45548</v>
      </c>
      <c r="F395">
        <v>197</v>
      </c>
      <c r="G395" t="s">
        <v>25</v>
      </c>
      <c r="H395">
        <v>4.5</v>
      </c>
      <c r="I395">
        <v>471</v>
      </c>
      <c r="J395" t="s">
        <v>68</v>
      </c>
      <c r="K395" t="str">
        <f t="shared" si="42"/>
        <v>Good</v>
      </c>
      <c r="L395">
        <f t="shared" si="43"/>
        <v>471</v>
      </c>
      <c r="M395" t="str">
        <f t="shared" si="44"/>
        <v>Very Long</v>
      </c>
      <c r="N395" s="4" t="str">
        <f t="shared" si="45"/>
        <v>Cam</v>
      </c>
      <c r="O395" s="4" t="str">
        <f t="shared" si="46"/>
        <v>RANTHAMBORE</v>
      </c>
      <c r="P395" s="4" t="str">
        <f t="shared" si="47"/>
        <v>Average Service</v>
      </c>
      <c r="Q395" s="4">
        <f t="shared" si="48"/>
        <v>11</v>
      </c>
    </row>
    <row r="396" spans="1:17">
      <c r="A396">
        <v>1395</v>
      </c>
      <c r="B396" t="s">
        <v>80</v>
      </c>
      <c r="C396" t="s">
        <v>45</v>
      </c>
      <c r="D396" t="s">
        <v>19</v>
      </c>
      <c r="E396" s="1">
        <v>45567</v>
      </c>
      <c r="F396">
        <v>61</v>
      </c>
      <c r="G396" t="s">
        <v>38</v>
      </c>
      <c r="H396">
        <v>4.5</v>
      </c>
      <c r="I396">
        <v>304</v>
      </c>
      <c r="J396" t="s">
        <v>68</v>
      </c>
      <c r="K396" t="str">
        <f t="shared" si="42"/>
        <v>Good</v>
      </c>
      <c r="L396">
        <f t="shared" si="43"/>
        <v>304</v>
      </c>
      <c r="M396" t="str">
        <f t="shared" si="44"/>
        <v>Medium</v>
      </c>
      <c r="N396" s="4" t="str">
        <f t="shared" si="45"/>
        <v>Pho</v>
      </c>
      <c r="O396" s="4" t="str">
        <f t="shared" si="46"/>
        <v>KANHA</v>
      </c>
      <c r="P396" s="4" t="str">
        <f t="shared" si="47"/>
        <v>Average Service</v>
      </c>
      <c r="Q396" s="4">
        <f t="shared" si="48"/>
        <v>12</v>
      </c>
    </row>
    <row r="397" spans="1:17">
      <c r="A397">
        <v>1396</v>
      </c>
      <c r="B397" t="s">
        <v>70</v>
      </c>
      <c r="C397" t="s">
        <v>23</v>
      </c>
      <c r="D397" t="s">
        <v>37</v>
      </c>
      <c r="E397" s="1">
        <v>45639</v>
      </c>
      <c r="F397">
        <v>232</v>
      </c>
      <c r="G397" t="s">
        <v>25</v>
      </c>
      <c r="H397">
        <v>5</v>
      </c>
      <c r="I397">
        <v>198</v>
      </c>
      <c r="J397" t="s">
        <v>54</v>
      </c>
      <c r="K397" t="str">
        <f t="shared" si="42"/>
        <v>Good</v>
      </c>
      <c r="L397">
        <f t="shared" si="43"/>
        <v>198</v>
      </c>
      <c r="M397" t="str">
        <f t="shared" si="44"/>
        <v>Very Long</v>
      </c>
      <c r="N397" s="4" t="str">
        <f t="shared" si="45"/>
        <v>Bir</v>
      </c>
      <c r="O397" s="4" t="str">
        <f t="shared" si="46"/>
        <v>BANDHAVGARH</v>
      </c>
      <c r="P397" s="4" t="str">
        <f t="shared" si="47"/>
        <v>Could Be Cleaner</v>
      </c>
      <c r="Q397" s="4">
        <f t="shared" si="48"/>
        <v>12</v>
      </c>
    </row>
    <row r="398" spans="1:17">
      <c r="A398">
        <v>1397</v>
      </c>
      <c r="B398" t="s">
        <v>93</v>
      </c>
      <c r="C398" t="s">
        <v>45</v>
      </c>
      <c r="D398" t="s">
        <v>37</v>
      </c>
      <c r="E398" s="1">
        <v>45512</v>
      </c>
      <c r="F398">
        <v>113</v>
      </c>
      <c r="G398" t="s">
        <v>20</v>
      </c>
      <c r="H398">
        <v>2.5</v>
      </c>
      <c r="I398">
        <v>434</v>
      </c>
      <c r="J398" t="s">
        <v>30</v>
      </c>
      <c r="K398" t="str">
        <f t="shared" si="42"/>
        <v>Bad</v>
      </c>
      <c r="L398">
        <f t="shared" si="43"/>
        <v>434</v>
      </c>
      <c r="M398" t="str">
        <f t="shared" si="44"/>
        <v>Long</v>
      </c>
      <c r="N398" s="4" t="str">
        <f t="shared" si="45"/>
        <v>Bir</v>
      </c>
      <c r="O398" s="4" t="str">
        <f t="shared" si="46"/>
        <v>KANHA</v>
      </c>
      <c r="P398" s="4" t="str">
        <f t="shared" si="47"/>
        <v>Good Guide Support</v>
      </c>
      <c r="Q398" s="4">
        <f t="shared" si="48"/>
        <v>11</v>
      </c>
    </row>
    <row r="399" spans="1:17">
      <c r="A399">
        <v>1398</v>
      </c>
      <c r="B399" t="s">
        <v>106</v>
      </c>
      <c r="C399" t="s">
        <v>45</v>
      </c>
      <c r="D399" t="s">
        <v>19</v>
      </c>
      <c r="E399" s="1">
        <v>45637</v>
      </c>
      <c r="F399">
        <v>136</v>
      </c>
      <c r="G399" t="s">
        <v>20</v>
      </c>
      <c r="H399">
        <v>4.0999999999999996</v>
      </c>
      <c r="I399">
        <v>208</v>
      </c>
      <c r="J399" t="s">
        <v>35</v>
      </c>
      <c r="K399" t="str">
        <f t="shared" si="42"/>
        <v>Good</v>
      </c>
      <c r="L399">
        <f t="shared" si="43"/>
        <v>208</v>
      </c>
      <c r="M399" t="str">
        <f t="shared" si="44"/>
        <v>Long</v>
      </c>
      <c r="N399" s="4" t="str">
        <f t="shared" si="45"/>
        <v>Pho</v>
      </c>
      <c r="O399" s="4" t="str">
        <f t="shared" si="46"/>
        <v>KANHA</v>
      </c>
      <c r="P399" s="4" t="str">
        <f t="shared" si="47"/>
        <v>Very Enjoyable</v>
      </c>
      <c r="Q399" s="4">
        <f t="shared" si="48"/>
        <v>12</v>
      </c>
    </row>
    <row r="400" spans="1:17">
      <c r="A400">
        <v>1399</v>
      </c>
      <c r="B400" t="s">
        <v>42</v>
      </c>
      <c r="C400" t="s">
        <v>43</v>
      </c>
      <c r="D400" t="s">
        <v>29</v>
      </c>
      <c r="E400" s="1">
        <v>45367</v>
      </c>
      <c r="F400">
        <v>227</v>
      </c>
      <c r="G400" t="s">
        <v>20</v>
      </c>
      <c r="H400">
        <v>3.3</v>
      </c>
      <c r="I400">
        <v>451</v>
      </c>
      <c r="J400" t="s">
        <v>30</v>
      </c>
      <c r="K400" t="str">
        <f t="shared" si="42"/>
        <v>Neutral</v>
      </c>
      <c r="L400">
        <f t="shared" si="43"/>
        <v>451</v>
      </c>
      <c r="M400" t="str">
        <f t="shared" si="44"/>
        <v>Very Long</v>
      </c>
      <c r="N400" s="4" t="str">
        <f t="shared" si="45"/>
        <v>Hik</v>
      </c>
      <c r="O400" s="4" t="str">
        <f t="shared" si="46"/>
        <v>RANTHAMBORE</v>
      </c>
      <c r="P400" s="4" t="str">
        <f t="shared" si="47"/>
        <v>Good Guide Support</v>
      </c>
      <c r="Q400" s="4">
        <f t="shared" si="48"/>
        <v>9</v>
      </c>
    </row>
    <row r="401" spans="1:17">
      <c r="A401">
        <v>1400</v>
      </c>
      <c r="B401" t="s">
        <v>88</v>
      </c>
      <c r="C401" t="s">
        <v>52</v>
      </c>
      <c r="D401" t="s">
        <v>37</v>
      </c>
      <c r="E401" s="1">
        <v>45510</v>
      </c>
      <c r="F401">
        <v>240</v>
      </c>
      <c r="G401" t="s">
        <v>38</v>
      </c>
      <c r="H401">
        <v>4.3</v>
      </c>
      <c r="I401">
        <v>312</v>
      </c>
      <c r="J401" t="s">
        <v>54</v>
      </c>
      <c r="K401" t="str">
        <f t="shared" si="42"/>
        <v>Good</v>
      </c>
      <c r="L401">
        <f t="shared" si="43"/>
        <v>312</v>
      </c>
      <c r="M401" t="str">
        <f t="shared" si="44"/>
        <v>Very Long</v>
      </c>
      <c r="N401" s="4" t="str">
        <f t="shared" si="45"/>
        <v>Bir</v>
      </c>
      <c r="O401" s="4" t="str">
        <f t="shared" si="46"/>
        <v>KAZIRANGA</v>
      </c>
      <c r="P401" s="4" t="str">
        <f t="shared" si="47"/>
        <v>Could Be Cleaner</v>
      </c>
      <c r="Q401" s="4">
        <f t="shared" si="48"/>
        <v>13</v>
      </c>
    </row>
    <row r="402" spans="1:17">
      <c r="A402">
        <v>1401</v>
      </c>
      <c r="B402" t="s">
        <v>122</v>
      </c>
      <c r="C402" t="s">
        <v>41</v>
      </c>
      <c r="D402" t="s">
        <v>37</v>
      </c>
      <c r="E402" s="1">
        <v>45608</v>
      </c>
      <c r="F402">
        <v>236</v>
      </c>
      <c r="G402" t="s">
        <v>38</v>
      </c>
      <c r="H402">
        <v>3.3</v>
      </c>
      <c r="I402">
        <v>236</v>
      </c>
      <c r="J402" t="s">
        <v>26</v>
      </c>
      <c r="K402" t="str">
        <f t="shared" si="42"/>
        <v>Neutral</v>
      </c>
      <c r="L402">
        <f t="shared" si="43"/>
        <v>236</v>
      </c>
      <c r="M402" t="str">
        <f t="shared" si="44"/>
        <v>Very Long</v>
      </c>
      <c r="N402" s="4" t="str">
        <f t="shared" si="45"/>
        <v>Bir</v>
      </c>
      <c r="O402" s="4" t="str">
        <f t="shared" si="46"/>
        <v>JIM CORBETT</v>
      </c>
      <c r="P402" s="4" t="str">
        <f t="shared" si="47"/>
        <v>Excellent Wildlife View</v>
      </c>
      <c r="Q402" s="4">
        <f t="shared" si="48"/>
        <v>12</v>
      </c>
    </row>
    <row r="403" spans="1:17">
      <c r="A403">
        <v>1402</v>
      </c>
      <c r="B403" t="s">
        <v>70</v>
      </c>
      <c r="C403" t="s">
        <v>28</v>
      </c>
      <c r="D403" t="s">
        <v>48</v>
      </c>
      <c r="E403" s="1">
        <v>45346</v>
      </c>
      <c r="F403">
        <v>126</v>
      </c>
      <c r="G403" t="s">
        <v>20</v>
      </c>
      <c r="H403">
        <v>4.0999999999999996</v>
      </c>
      <c r="I403">
        <v>346</v>
      </c>
      <c r="J403" t="s">
        <v>35</v>
      </c>
      <c r="K403" t="str">
        <f t="shared" si="42"/>
        <v>Good</v>
      </c>
      <c r="L403">
        <f t="shared" si="43"/>
        <v>346</v>
      </c>
      <c r="M403" t="str">
        <f t="shared" si="44"/>
        <v>Long</v>
      </c>
      <c r="N403" s="4" t="str">
        <f t="shared" si="45"/>
        <v>Cam</v>
      </c>
      <c r="O403" s="4" t="str">
        <f t="shared" si="46"/>
        <v>PERIYAR</v>
      </c>
      <c r="P403" s="4" t="str">
        <f t="shared" si="47"/>
        <v>Very Enjoyable</v>
      </c>
      <c r="Q403" s="4">
        <f t="shared" si="48"/>
        <v>12</v>
      </c>
    </row>
    <row r="404" spans="1:17">
      <c r="A404">
        <v>1403</v>
      </c>
      <c r="B404" t="s">
        <v>67</v>
      </c>
      <c r="C404" t="s">
        <v>45</v>
      </c>
      <c r="D404" t="s">
        <v>37</v>
      </c>
      <c r="E404" s="1">
        <v>45585</v>
      </c>
      <c r="F404">
        <v>150</v>
      </c>
      <c r="G404" t="s">
        <v>46</v>
      </c>
      <c r="H404">
        <v>2.9</v>
      </c>
      <c r="I404">
        <v>242</v>
      </c>
      <c r="J404" t="s">
        <v>66</v>
      </c>
      <c r="K404" t="str">
        <f t="shared" si="42"/>
        <v>Bad</v>
      </c>
      <c r="L404">
        <f t="shared" si="43"/>
        <v>242</v>
      </c>
      <c r="M404" t="str">
        <f t="shared" si="44"/>
        <v>Long</v>
      </c>
      <c r="N404" s="4" t="str">
        <f t="shared" si="45"/>
        <v>Bir</v>
      </c>
      <c r="O404" s="4" t="str">
        <f t="shared" si="46"/>
        <v>KANHA</v>
      </c>
      <c r="P404" s="4" t="str">
        <f t="shared" si="47"/>
        <v>Amazing Experience</v>
      </c>
      <c r="Q404" s="4">
        <f t="shared" si="48"/>
        <v>11</v>
      </c>
    </row>
    <row r="405" spans="1:17">
      <c r="A405">
        <v>1404</v>
      </c>
      <c r="B405" t="s">
        <v>61</v>
      </c>
      <c r="C405" t="s">
        <v>28</v>
      </c>
      <c r="D405" t="s">
        <v>24</v>
      </c>
      <c r="E405" s="1">
        <v>45492</v>
      </c>
      <c r="F405">
        <v>87</v>
      </c>
      <c r="G405" t="s">
        <v>20</v>
      </c>
      <c r="H405">
        <v>3.7</v>
      </c>
      <c r="I405">
        <v>259</v>
      </c>
      <c r="J405" t="s">
        <v>54</v>
      </c>
      <c r="K405" t="str">
        <f t="shared" si="42"/>
        <v>Neutral</v>
      </c>
      <c r="L405">
        <f t="shared" si="43"/>
        <v>259</v>
      </c>
      <c r="M405" t="str">
        <f t="shared" si="44"/>
        <v>Medium</v>
      </c>
      <c r="N405" s="4" t="str">
        <f t="shared" si="45"/>
        <v>Saf</v>
      </c>
      <c r="O405" s="4" t="str">
        <f t="shared" si="46"/>
        <v>PERIYAR</v>
      </c>
      <c r="P405" s="4" t="str">
        <f t="shared" si="47"/>
        <v>Could Be Cleaner</v>
      </c>
      <c r="Q405" s="4">
        <f t="shared" si="48"/>
        <v>11</v>
      </c>
    </row>
    <row r="406" spans="1:17">
      <c r="A406">
        <v>1405</v>
      </c>
      <c r="B406" t="s">
        <v>61</v>
      </c>
      <c r="C406" t="s">
        <v>34</v>
      </c>
      <c r="D406" t="s">
        <v>53</v>
      </c>
      <c r="E406" s="1">
        <v>45566</v>
      </c>
      <c r="F406">
        <v>46</v>
      </c>
      <c r="G406" t="s">
        <v>38</v>
      </c>
      <c r="H406">
        <v>5</v>
      </c>
      <c r="I406">
        <v>203</v>
      </c>
      <c r="J406" t="s">
        <v>73</v>
      </c>
      <c r="K406" t="str">
        <f t="shared" si="42"/>
        <v>Good</v>
      </c>
      <c r="L406">
        <f t="shared" si="43"/>
        <v>203</v>
      </c>
      <c r="M406" t="str">
        <f t="shared" si="44"/>
        <v>Medium</v>
      </c>
      <c r="N406" s="4" t="str">
        <f t="shared" si="45"/>
        <v>Boa</v>
      </c>
      <c r="O406" s="4" t="str">
        <f t="shared" si="46"/>
        <v>GIR</v>
      </c>
      <c r="P406" s="4" t="str">
        <f t="shared" si="47"/>
        <v>Peaceful Environment</v>
      </c>
      <c r="Q406" s="4">
        <f t="shared" si="48"/>
        <v>11</v>
      </c>
    </row>
    <row r="407" spans="1:17">
      <c r="A407">
        <v>1406</v>
      </c>
      <c r="B407" t="s">
        <v>91</v>
      </c>
      <c r="C407" t="s">
        <v>28</v>
      </c>
      <c r="D407" t="s">
        <v>24</v>
      </c>
      <c r="E407" s="1">
        <v>45474</v>
      </c>
      <c r="F407">
        <v>164</v>
      </c>
      <c r="G407" t="s">
        <v>46</v>
      </c>
      <c r="H407">
        <v>3.4</v>
      </c>
      <c r="I407">
        <v>398</v>
      </c>
      <c r="J407" t="s">
        <v>68</v>
      </c>
      <c r="K407" t="str">
        <f t="shared" si="42"/>
        <v>Neutral</v>
      </c>
      <c r="L407">
        <f t="shared" si="43"/>
        <v>398</v>
      </c>
      <c r="M407" t="str">
        <f t="shared" si="44"/>
        <v>Long</v>
      </c>
      <c r="N407" s="4" t="str">
        <f t="shared" si="45"/>
        <v>Saf</v>
      </c>
      <c r="O407" s="4" t="str">
        <f t="shared" si="46"/>
        <v>PERIYAR</v>
      </c>
      <c r="P407" s="4" t="str">
        <f t="shared" si="47"/>
        <v>Average Service</v>
      </c>
      <c r="Q407" s="4">
        <f t="shared" si="48"/>
        <v>13</v>
      </c>
    </row>
    <row r="408" spans="1:17">
      <c r="A408">
        <v>1407</v>
      </c>
      <c r="B408" t="s">
        <v>124</v>
      </c>
      <c r="C408" t="s">
        <v>28</v>
      </c>
      <c r="D408" t="s">
        <v>37</v>
      </c>
      <c r="E408" s="1">
        <v>45315</v>
      </c>
      <c r="F408">
        <v>201</v>
      </c>
      <c r="G408" t="s">
        <v>25</v>
      </c>
      <c r="H408">
        <v>4.5</v>
      </c>
      <c r="I408">
        <v>387</v>
      </c>
      <c r="J408" t="s">
        <v>35</v>
      </c>
      <c r="K408" t="str">
        <f t="shared" si="42"/>
        <v>Good</v>
      </c>
      <c r="L408">
        <f t="shared" si="43"/>
        <v>387</v>
      </c>
      <c r="M408" t="str">
        <f t="shared" si="44"/>
        <v>Very Long</v>
      </c>
      <c r="N408" s="4" t="str">
        <f t="shared" si="45"/>
        <v>Bir</v>
      </c>
      <c r="O408" s="4" t="str">
        <f t="shared" si="46"/>
        <v>PERIYAR</v>
      </c>
      <c r="P408" s="4" t="str">
        <f t="shared" si="47"/>
        <v>Very Enjoyable</v>
      </c>
      <c r="Q408" s="4">
        <f t="shared" si="48"/>
        <v>11</v>
      </c>
    </row>
    <row r="409" spans="1:17">
      <c r="A409">
        <v>1408</v>
      </c>
      <c r="B409" t="s">
        <v>86</v>
      </c>
      <c r="C409" t="s">
        <v>45</v>
      </c>
      <c r="D409" t="s">
        <v>48</v>
      </c>
      <c r="E409" s="1">
        <v>45431</v>
      </c>
      <c r="F409">
        <v>76</v>
      </c>
      <c r="G409" t="s">
        <v>38</v>
      </c>
      <c r="H409">
        <v>4</v>
      </c>
      <c r="I409">
        <v>340</v>
      </c>
      <c r="J409" t="s">
        <v>30</v>
      </c>
      <c r="K409" t="str">
        <f t="shared" si="42"/>
        <v>Neutral</v>
      </c>
      <c r="L409">
        <f t="shared" si="43"/>
        <v>340</v>
      </c>
      <c r="M409" t="str">
        <f t="shared" si="44"/>
        <v>Medium</v>
      </c>
      <c r="N409" s="4" t="str">
        <f t="shared" si="45"/>
        <v>Cam</v>
      </c>
      <c r="O409" s="4" t="str">
        <f t="shared" si="46"/>
        <v>KANHA</v>
      </c>
      <c r="P409" s="4" t="str">
        <f t="shared" si="47"/>
        <v>Good Guide Support</v>
      </c>
      <c r="Q409" s="4">
        <f t="shared" si="48"/>
        <v>10</v>
      </c>
    </row>
    <row r="410" spans="1:17">
      <c r="A410">
        <v>1409</v>
      </c>
      <c r="B410" t="s">
        <v>80</v>
      </c>
      <c r="C410" t="s">
        <v>28</v>
      </c>
      <c r="D410" t="s">
        <v>53</v>
      </c>
      <c r="E410" s="1">
        <v>45416</v>
      </c>
      <c r="F410">
        <v>214</v>
      </c>
      <c r="G410" t="s">
        <v>46</v>
      </c>
      <c r="H410">
        <v>4.5999999999999996</v>
      </c>
      <c r="I410">
        <v>497</v>
      </c>
      <c r="J410" t="s">
        <v>68</v>
      </c>
      <c r="K410" t="str">
        <f t="shared" si="42"/>
        <v>Good</v>
      </c>
      <c r="L410">
        <f t="shared" si="43"/>
        <v>497</v>
      </c>
      <c r="M410" t="str">
        <f t="shared" si="44"/>
        <v>Very Long</v>
      </c>
      <c r="N410" s="4" t="str">
        <f t="shared" si="45"/>
        <v>Boa</v>
      </c>
      <c r="O410" s="4" t="str">
        <f t="shared" si="46"/>
        <v>PERIYAR</v>
      </c>
      <c r="P410" s="4" t="str">
        <f t="shared" si="47"/>
        <v>Average Service</v>
      </c>
      <c r="Q410" s="4">
        <f t="shared" si="48"/>
        <v>12</v>
      </c>
    </row>
    <row r="411" spans="1:17">
      <c r="A411">
        <v>1410</v>
      </c>
      <c r="B411" t="s">
        <v>76</v>
      </c>
      <c r="C411" t="s">
        <v>45</v>
      </c>
      <c r="D411" t="s">
        <v>29</v>
      </c>
      <c r="E411" s="1">
        <v>45554</v>
      </c>
      <c r="F411">
        <v>138</v>
      </c>
      <c r="G411" t="s">
        <v>20</v>
      </c>
      <c r="H411">
        <v>3.1</v>
      </c>
      <c r="I411">
        <v>366</v>
      </c>
      <c r="J411" t="s">
        <v>35</v>
      </c>
      <c r="K411" t="str">
        <f t="shared" si="42"/>
        <v>Neutral</v>
      </c>
      <c r="L411">
        <f t="shared" si="43"/>
        <v>366</v>
      </c>
      <c r="M411" t="str">
        <f t="shared" si="44"/>
        <v>Long</v>
      </c>
      <c r="N411" s="4" t="str">
        <f t="shared" si="45"/>
        <v>Hik</v>
      </c>
      <c r="O411" s="4" t="str">
        <f t="shared" si="46"/>
        <v>KANHA</v>
      </c>
      <c r="P411" s="4" t="str">
        <f t="shared" si="47"/>
        <v>Very Enjoyable</v>
      </c>
      <c r="Q411" s="4">
        <f t="shared" si="48"/>
        <v>11</v>
      </c>
    </row>
    <row r="412" spans="1:17">
      <c r="A412">
        <v>1411</v>
      </c>
      <c r="B412" t="s">
        <v>134</v>
      </c>
      <c r="C412" t="s">
        <v>45</v>
      </c>
      <c r="D412" t="s">
        <v>53</v>
      </c>
      <c r="E412" s="1">
        <v>45611</v>
      </c>
      <c r="F412">
        <v>159</v>
      </c>
      <c r="G412" t="s">
        <v>20</v>
      </c>
      <c r="H412">
        <v>4.0999999999999996</v>
      </c>
      <c r="I412">
        <v>221</v>
      </c>
      <c r="J412" t="s">
        <v>21</v>
      </c>
      <c r="K412" t="str">
        <f t="shared" si="42"/>
        <v>Good</v>
      </c>
      <c r="L412">
        <f t="shared" si="43"/>
        <v>221</v>
      </c>
      <c r="M412" t="str">
        <f t="shared" si="44"/>
        <v>Long</v>
      </c>
      <c r="N412" s="4" t="str">
        <f t="shared" si="45"/>
        <v>Boa</v>
      </c>
      <c r="O412" s="4" t="str">
        <f t="shared" si="46"/>
        <v>KANHA</v>
      </c>
      <c r="P412" s="4" t="str">
        <f t="shared" si="47"/>
        <v>Too Crowded</v>
      </c>
      <c r="Q412" s="4">
        <f t="shared" si="48"/>
        <v>11</v>
      </c>
    </row>
    <row r="413" spans="1:17">
      <c r="A413">
        <v>1412</v>
      </c>
      <c r="B413" t="s">
        <v>100</v>
      </c>
      <c r="C413" t="s">
        <v>28</v>
      </c>
      <c r="D413" t="s">
        <v>29</v>
      </c>
      <c r="E413" s="1">
        <v>45398</v>
      </c>
      <c r="F413">
        <v>199</v>
      </c>
      <c r="G413" t="s">
        <v>20</v>
      </c>
      <c r="H413">
        <v>3.5</v>
      </c>
      <c r="I413">
        <v>306</v>
      </c>
      <c r="J413" t="s">
        <v>35</v>
      </c>
      <c r="K413" t="str">
        <f t="shared" si="42"/>
        <v>Neutral</v>
      </c>
      <c r="L413">
        <f t="shared" si="43"/>
        <v>306</v>
      </c>
      <c r="M413" t="str">
        <f t="shared" si="44"/>
        <v>Very Long</v>
      </c>
      <c r="N413" s="4" t="str">
        <f t="shared" si="45"/>
        <v>Hik</v>
      </c>
      <c r="O413" s="4" t="str">
        <f t="shared" si="46"/>
        <v>PERIYAR</v>
      </c>
      <c r="P413" s="4" t="str">
        <f t="shared" si="47"/>
        <v>Very Enjoyable</v>
      </c>
      <c r="Q413" s="4">
        <f t="shared" si="48"/>
        <v>11</v>
      </c>
    </row>
    <row r="414" spans="1:17">
      <c r="A414">
        <v>1413</v>
      </c>
      <c r="B414" t="s">
        <v>47</v>
      </c>
      <c r="C414" t="s">
        <v>34</v>
      </c>
      <c r="D414" t="s">
        <v>48</v>
      </c>
      <c r="E414" s="1">
        <v>45384</v>
      </c>
      <c r="F414">
        <v>147</v>
      </c>
      <c r="G414" t="s">
        <v>25</v>
      </c>
      <c r="H414">
        <v>2.8</v>
      </c>
      <c r="I414">
        <v>420</v>
      </c>
      <c r="J414" t="s">
        <v>32</v>
      </c>
      <c r="K414" t="str">
        <f t="shared" si="42"/>
        <v>Bad</v>
      </c>
      <c r="L414">
        <f t="shared" si="43"/>
        <v>420</v>
      </c>
      <c r="M414" t="str">
        <f t="shared" si="44"/>
        <v>Long</v>
      </c>
      <c r="N414" s="4" t="str">
        <f t="shared" si="45"/>
        <v>Cam</v>
      </c>
      <c r="O414" s="4" t="str">
        <f t="shared" si="46"/>
        <v>GIR</v>
      </c>
      <c r="P414" s="4" t="str">
        <f t="shared" si="47"/>
        <v>No Comments</v>
      </c>
      <c r="Q414" s="4">
        <f t="shared" si="48"/>
        <v>10</v>
      </c>
    </row>
    <row r="415" spans="1:17">
      <c r="A415">
        <v>1414</v>
      </c>
      <c r="B415" t="s">
        <v>127</v>
      </c>
      <c r="C415" t="s">
        <v>34</v>
      </c>
      <c r="D415" t="s">
        <v>37</v>
      </c>
      <c r="E415" s="1">
        <v>45623</v>
      </c>
      <c r="F415">
        <v>117</v>
      </c>
      <c r="G415" t="s">
        <v>38</v>
      </c>
      <c r="H415">
        <v>3.5</v>
      </c>
      <c r="I415">
        <v>112</v>
      </c>
      <c r="J415" t="s">
        <v>73</v>
      </c>
      <c r="K415" t="str">
        <f t="shared" si="42"/>
        <v>Neutral</v>
      </c>
      <c r="L415">
        <f t="shared" si="43"/>
        <v>112</v>
      </c>
      <c r="M415" t="str">
        <f t="shared" si="44"/>
        <v>Long</v>
      </c>
      <c r="N415" s="4" t="str">
        <f t="shared" si="45"/>
        <v>Bir</v>
      </c>
      <c r="O415" s="4" t="str">
        <f t="shared" si="46"/>
        <v>GIR</v>
      </c>
      <c r="P415" s="4" t="str">
        <f t="shared" si="47"/>
        <v>Peaceful Environment</v>
      </c>
      <c r="Q415" s="4">
        <f t="shared" si="48"/>
        <v>10</v>
      </c>
    </row>
    <row r="416" spans="1:17">
      <c r="A416">
        <v>1415</v>
      </c>
      <c r="B416" t="s">
        <v>125</v>
      </c>
      <c r="C416" t="s">
        <v>41</v>
      </c>
      <c r="D416" t="s">
        <v>53</v>
      </c>
      <c r="E416" s="1">
        <v>45424</v>
      </c>
      <c r="F416">
        <v>64</v>
      </c>
      <c r="G416" t="s">
        <v>38</v>
      </c>
      <c r="H416">
        <v>3.3</v>
      </c>
      <c r="I416">
        <v>181</v>
      </c>
      <c r="J416" t="s">
        <v>35</v>
      </c>
      <c r="K416" t="str">
        <f t="shared" si="42"/>
        <v>Neutral</v>
      </c>
      <c r="L416">
        <f t="shared" si="43"/>
        <v>181</v>
      </c>
      <c r="M416" t="str">
        <f t="shared" si="44"/>
        <v>Medium</v>
      </c>
      <c r="N416" s="4" t="str">
        <f t="shared" si="45"/>
        <v>Boa</v>
      </c>
      <c r="O416" s="4" t="str">
        <f t="shared" si="46"/>
        <v>JIM CORBETT</v>
      </c>
      <c r="P416" s="4" t="str">
        <f t="shared" si="47"/>
        <v>Very Enjoyable</v>
      </c>
      <c r="Q416" s="4">
        <f t="shared" si="48"/>
        <v>11</v>
      </c>
    </row>
    <row r="417" spans="1:17">
      <c r="A417">
        <v>1416</v>
      </c>
      <c r="B417" t="s">
        <v>71</v>
      </c>
      <c r="C417" t="s">
        <v>28</v>
      </c>
      <c r="D417" t="s">
        <v>29</v>
      </c>
      <c r="E417" s="1">
        <v>45463</v>
      </c>
      <c r="F417">
        <v>228</v>
      </c>
      <c r="G417" t="s">
        <v>38</v>
      </c>
      <c r="H417">
        <v>3.7</v>
      </c>
      <c r="I417">
        <v>164</v>
      </c>
      <c r="J417" t="s">
        <v>32</v>
      </c>
      <c r="K417" t="str">
        <f t="shared" si="42"/>
        <v>Neutral</v>
      </c>
      <c r="L417">
        <f t="shared" si="43"/>
        <v>164</v>
      </c>
      <c r="M417" t="str">
        <f t="shared" si="44"/>
        <v>Very Long</v>
      </c>
      <c r="N417" s="4" t="str">
        <f t="shared" si="45"/>
        <v>Hik</v>
      </c>
      <c r="O417" s="4" t="str">
        <f t="shared" si="46"/>
        <v>PERIYAR</v>
      </c>
      <c r="P417" s="4" t="str">
        <f t="shared" si="47"/>
        <v>No Comments</v>
      </c>
      <c r="Q417" s="4">
        <f t="shared" si="48"/>
        <v>11</v>
      </c>
    </row>
    <row r="418" spans="1:17">
      <c r="A418">
        <v>1417</v>
      </c>
      <c r="B418" t="s">
        <v>127</v>
      </c>
      <c r="C418" t="s">
        <v>28</v>
      </c>
      <c r="D418" t="s">
        <v>48</v>
      </c>
      <c r="E418" s="1">
        <v>45582</v>
      </c>
      <c r="F418">
        <v>129</v>
      </c>
      <c r="G418" t="s">
        <v>20</v>
      </c>
      <c r="H418">
        <v>2.9</v>
      </c>
      <c r="I418">
        <v>350</v>
      </c>
      <c r="J418" t="s">
        <v>54</v>
      </c>
      <c r="K418" t="str">
        <f t="shared" si="42"/>
        <v>Bad</v>
      </c>
      <c r="L418">
        <f t="shared" si="43"/>
        <v>350</v>
      </c>
      <c r="M418" t="str">
        <f t="shared" si="44"/>
        <v>Long</v>
      </c>
      <c r="N418" s="4" t="str">
        <f t="shared" si="45"/>
        <v>Cam</v>
      </c>
      <c r="O418" s="4" t="str">
        <f t="shared" si="46"/>
        <v>PERIYAR</v>
      </c>
      <c r="P418" s="4" t="str">
        <f t="shared" si="47"/>
        <v>Could Be Cleaner</v>
      </c>
      <c r="Q418" s="4">
        <f t="shared" si="48"/>
        <v>10</v>
      </c>
    </row>
    <row r="419" spans="1:17">
      <c r="A419">
        <v>1418</v>
      </c>
      <c r="B419" t="s">
        <v>119</v>
      </c>
      <c r="C419" t="s">
        <v>52</v>
      </c>
      <c r="D419" t="s">
        <v>24</v>
      </c>
      <c r="E419" s="1">
        <v>45600</v>
      </c>
      <c r="F419">
        <v>72</v>
      </c>
      <c r="G419" t="s">
        <v>20</v>
      </c>
      <c r="H419">
        <v>3.6</v>
      </c>
      <c r="I419">
        <v>146</v>
      </c>
      <c r="J419" t="s">
        <v>26</v>
      </c>
      <c r="K419" t="str">
        <f t="shared" si="42"/>
        <v>Neutral</v>
      </c>
      <c r="L419">
        <f t="shared" si="43"/>
        <v>146</v>
      </c>
      <c r="M419" t="str">
        <f t="shared" si="44"/>
        <v>Medium</v>
      </c>
      <c r="N419" s="4" t="str">
        <f t="shared" si="45"/>
        <v>Saf</v>
      </c>
      <c r="O419" s="4" t="str">
        <f t="shared" si="46"/>
        <v>KAZIRANGA</v>
      </c>
      <c r="P419" s="4" t="str">
        <f t="shared" si="47"/>
        <v>Excellent Wildlife View</v>
      </c>
      <c r="Q419" s="4">
        <f t="shared" si="48"/>
        <v>10</v>
      </c>
    </row>
    <row r="420" spans="1:17">
      <c r="A420">
        <v>1419</v>
      </c>
      <c r="B420" t="s">
        <v>126</v>
      </c>
      <c r="C420" t="s">
        <v>43</v>
      </c>
      <c r="D420" t="s">
        <v>53</v>
      </c>
      <c r="E420" s="1">
        <v>45542</v>
      </c>
      <c r="F420">
        <v>200</v>
      </c>
      <c r="G420" t="s">
        <v>20</v>
      </c>
      <c r="H420">
        <v>3.3</v>
      </c>
      <c r="I420">
        <v>314</v>
      </c>
      <c r="J420" t="s">
        <v>68</v>
      </c>
      <c r="K420" t="str">
        <f t="shared" si="42"/>
        <v>Neutral</v>
      </c>
      <c r="L420">
        <f t="shared" si="43"/>
        <v>314</v>
      </c>
      <c r="M420" t="str">
        <f t="shared" si="44"/>
        <v>Very Long</v>
      </c>
      <c r="N420" s="4" t="str">
        <f t="shared" si="45"/>
        <v>Boa</v>
      </c>
      <c r="O420" s="4" t="str">
        <f t="shared" si="46"/>
        <v>RANTHAMBORE</v>
      </c>
      <c r="P420" s="4" t="str">
        <f t="shared" si="47"/>
        <v>Average Service</v>
      </c>
      <c r="Q420" s="4">
        <f t="shared" si="48"/>
        <v>9</v>
      </c>
    </row>
    <row r="421" spans="1:17">
      <c r="A421">
        <v>1420</v>
      </c>
      <c r="B421" t="s">
        <v>86</v>
      </c>
      <c r="C421" t="s">
        <v>28</v>
      </c>
      <c r="D421" t="s">
        <v>53</v>
      </c>
      <c r="E421" s="1">
        <v>45557</v>
      </c>
      <c r="F421">
        <v>209</v>
      </c>
      <c r="G421" t="s">
        <v>46</v>
      </c>
      <c r="H421">
        <v>3.9</v>
      </c>
      <c r="I421">
        <v>302</v>
      </c>
      <c r="J421" t="s">
        <v>32</v>
      </c>
      <c r="K421" t="str">
        <f t="shared" si="42"/>
        <v>Neutral</v>
      </c>
      <c r="L421">
        <f t="shared" si="43"/>
        <v>302</v>
      </c>
      <c r="M421" t="str">
        <f t="shared" si="44"/>
        <v>Very Long</v>
      </c>
      <c r="N421" s="4" t="str">
        <f t="shared" si="45"/>
        <v>Boa</v>
      </c>
      <c r="O421" s="4" t="str">
        <f t="shared" si="46"/>
        <v>PERIYAR</v>
      </c>
      <c r="P421" s="4" t="str">
        <f t="shared" si="47"/>
        <v>No Comments</v>
      </c>
      <c r="Q421" s="4">
        <f t="shared" si="48"/>
        <v>10</v>
      </c>
    </row>
    <row r="422" spans="1:17">
      <c r="A422">
        <v>1421</v>
      </c>
      <c r="B422" t="s">
        <v>137</v>
      </c>
      <c r="C422" t="s">
        <v>45</v>
      </c>
      <c r="D422" t="s">
        <v>53</v>
      </c>
      <c r="E422" s="1">
        <v>45471</v>
      </c>
      <c r="F422">
        <v>135</v>
      </c>
      <c r="G422" t="s">
        <v>38</v>
      </c>
      <c r="H422">
        <v>4.3</v>
      </c>
      <c r="I422">
        <v>199</v>
      </c>
      <c r="J422" t="s">
        <v>68</v>
      </c>
      <c r="K422" t="str">
        <f t="shared" si="42"/>
        <v>Good</v>
      </c>
      <c r="L422">
        <f t="shared" si="43"/>
        <v>199</v>
      </c>
      <c r="M422" t="str">
        <f t="shared" si="44"/>
        <v>Long</v>
      </c>
      <c r="N422" s="4" t="str">
        <f t="shared" si="45"/>
        <v>Boa</v>
      </c>
      <c r="O422" s="4" t="str">
        <f t="shared" si="46"/>
        <v>KANHA</v>
      </c>
      <c r="P422" s="4" t="str">
        <f t="shared" si="47"/>
        <v>Average Service</v>
      </c>
      <c r="Q422" s="4">
        <f t="shared" si="48"/>
        <v>11</v>
      </c>
    </row>
    <row r="423" spans="1:17">
      <c r="A423">
        <v>1422</v>
      </c>
      <c r="B423" t="s">
        <v>99</v>
      </c>
      <c r="C423" t="s">
        <v>52</v>
      </c>
      <c r="D423" t="s">
        <v>24</v>
      </c>
      <c r="E423" s="1">
        <v>45638</v>
      </c>
      <c r="F423">
        <v>128</v>
      </c>
      <c r="G423" t="s">
        <v>46</v>
      </c>
      <c r="H423">
        <v>2.6</v>
      </c>
      <c r="I423">
        <v>308</v>
      </c>
      <c r="J423" t="s">
        <v>21</v>
      </c>
      <c r="K423" t="str">
        <f t="shared" si="42"/>
        <v>Bad</v>
      </c>
      <c r="L423">
        <f t="shared" si="43"/>
        <v>308</v>
      </c>
      <c r="M423" t="str">
        <f t="shared" si="44"/>
        <v>Long</v>
      </c>
      <c r="N423" s="4" t="str">
        <f t="shared" si="45"/>
        <v>Saf</v>
      </c>
      <c r="O423" s="4" t="str">
        <f t="shared" si="46"/>
        <v>KAZIRANGA</v>
      </c>
      <c r="P423" s="4" t="str">
        <f t="shared" si="47"/>
        <v>Too Crowded</v>
      </c>
      <c r="Q423" s="4">
        <f t="shared" si="48"/>
        <v>11</v>
      </c>
    </row>
    <row r="424" spans="1:17">
      <c r="A424">
        <v>1423</v>
      </c>
      <c r="B424" t="s">
        <v>90</v>
      </c>
      <c r="C424" t="s">
        <v>43</v>
      </c>
      <c r="D424" t="s">
        <v>37</v>
      </c>
      <c r="E424" s="1">
        <v>45538</v>
      </c>
      <c r="F424">
        <v>126</v>
      </c>
      <c r="G424" t="s">
        <v>46</v>
      </c>
      <c r="H424">
        <v>4.2</v>
      </c>
      <c r="I424">
        <v>451</v>
      </c>
      <c r="J424" t="s">
        <v>50</v>
      </c>
      <c r="K424" t="str">
        <f t="shared" si="42"/>
        <v>Good</v>
      </c>
      <c r="L424">
        <f t="shared" si="43"/>
        <v>451</v>
      </c>
      <c r="M424" t="str">
        <f t="shared" si="44"/>
        <v>Long</v>
      </c>
      <c r="N424" s="4" t="str">
        <f t="shared" si="45"/>
        <v>Bir</v>
      </c>
      <c r="O424" s="4" t="str">
        <f t="shared" si="46"/>
        <v>RANTHAMBORE</v>
      </c>
      <c r="P424" s="4" t="str">
        <f t="shared" si="47"/>
        <v>Saw Rare Species</v>
      </c>
      <c r="Q424" s="4">
        <f t="shared" si="48"/>
        <v>12</v>
      </c>
    </row>
    <row r="425" spans="1:17">
      <c r="A425">
        <v>1424</v>
      </c>
      <c r="B425" t="s">
        <v>144</v>
      </c>
      <c r="C425" t="s">
        <v>45</v>
      </c>
      <c r="D425" t="s">
        <v>37</v>
      </c>
      <c r="E425" s="1">
        <v>45594</v>
      </c>
      <c r="F425">
        <v>209</v>
      </c>
      <c r="G425" t="s">
        <v>20</v>
      </c>
      <c r="H425">
        <v>3.9</v>
      </c>
      <c r="I425">
        <v>367</v>
      </c>
      <c r="J425" t="s">
        <v>35</v>
      </c>
      <c r="K425" t="str">
        <f t="shared" si="42"/>
        <v>Neutral</v>
      </c>
      <c r="L425">
        <f t="shared" si="43"/>
        <v>367</v>
      </c>
      <c r="M425" t="str">
        <f t="shared" si="44"/>
        <v>Very Long</v>
      </c>
      <c r="N425" s="4" t="str">
        <f t="shared" si="45"/>
        <v>Bir</v>
      </c>
      <c r="O425" s="4" t="str">
        <f t="shared" si="46"/>
        <v>KANHA</v>
      </c>
      <c r="P425" s="4" t="str">
        <f t="shared" si="47"/>
        <v>Very Enjoyable</v>
      </c>
      <c r="Q425" s="4">
        <f t="shared" si="48"/>
        <v>9</v>
      </c>
    </row>
    <row r="426" spans="1:17">
      <c r="A426">
        <v>1425</v>
      </c>
      <c r="B426" t="s">
        <v>65</v>
      </c>
      <c r="C426" t="s">
        <v>41</v>
      </c>
      <c r="D426" t="s">
        <v>24</v>
      </c>
      <c r="E426" s="1">
        <v>45404</v>
      </c>
      <c r="F426">
        <v>126</v>
      </c>
      <c r="G426" t="s">
        <v>38</v>
      </c>
      <c r="H426">
        <v>4.8</v>
      </c>
      <c r="I426">
        <v>361</v>
      </c>
      <c r="J426" t="s">
        <v>32</v>
      </c>
      <c r="K426" t="str">
        <f t="shared" si="42"/>
        <v>Good</v>
      </c>
      <c r="L426">
        <f t="shared" si="43"/>
        <v>361</v>
      </c>
      <c r="M426" t="str">
        <f t="shared" si="44"/>
        <v>Long</v>
      </c>
      <c r="N426" s="4" t="str">
        <f t="shared" si="45"/>
        <v>Saf</v>
      </c>
      <c r="O426" s="4" t="str">
        <f t="shared" si="46"/>
        <v>JIM CORBETT</v>
      </c>
      <c r="P426" s="4" t="str">
        <f t="shared" si="47"/>
        <v>No Comments</v>
      </c>
      <c r="Q426" s="4">
        <f t="shared" si="48"/>
        <v>12</v>
      </c>
    </row>
    <row r="427" spans="1:17">
      <c r="A427">
        <v>1426</v>
      </c>
      <c r="B427" t="s">
        <v>74</v>
      </c>
      <c r="C427" t="s">
        <v>45</v>
      </c>
      <c r="D427" t="s">
        <v>24</v>
      </c>
      <c r="E427" s="1">
        <v>45394</v>
      </c>
      <c r="F427">
        <v>199</v>
      </c>
      <c r="G427" t="s">
        <v>20</v>
      </c>
      <c r="H427">
        <v>3.1</v>
      </c>
      <c r="I427">
        <v>483</v>
      </c>
      <c r="J427" t="s">
        <v>30</v>
      </c>
      <c r="K427" t="str">
        <f t="shared" si="42"/>
        <v>Neutral</v>
      </c>
      <c r="L427">
        <f t="shared" si="43"/>
        <v>483</v>
      </c>
      <c r="M427" t="str">
        <f t="shared" si="44"/>
        <v>Very Long</v>
      </c>
      <c r="N427" s="4" t="str">
        <f t="shared" si="45"/>
        <v>Saf</v>
      </c>
      <c r="O427" s="4" t="str">
        <f t="shared" si="46"/>
        <v>KANHA</v>
      </c>
      <c r="P427" s="4" t="str">
        <f t="shared" si="47"/>
        <v>Good Guide Support</v>
      </c>
      <c r="Q427" s="4">
        <f t="shared" si="48"/>
        <v>10</v>
      </c>
    </row>
    <row r="428" spans="1:17">
      <c r="A428">
        <v>1427</v>
      </c>
      <c r="B428" t="s">
        <v>121</v>
      </c>
      <c r="C428" t="s">
        <v>45</v>
      </c>
      <c r="D428" t="s">
        <v>19</v>
      </c>
      <c r="E428" s="1">
        <v>45517</v>
      </c>
      <c r="F428">
        <v>83</v>
      </c>
      <c r="G428" t="s">
        <v>20</v>
      </c>
      <c r="H428">
        <v>4</v>
      </c>
      <c r="I428">
        <v>144</v>
      </c>
      <c r="J428" t="s">
        <v>54</v>
      </c>
      <c r="K428" t="str">
        <f t="shared" si="42"/>
        <v>Neutral</v>
      </c>
      <c r="L428">
        <f t="shared" si="43"/>
        <v>144</v>
      </c>
      <c r="M428" t="str">
        <f t="shared" si="44"/>
        <v>Medium</v>
      </c>
      <c r="N428" s="4" t="str">
        <f t="shared" si="45"/>
        <v>Pho</v>
      </c>
      <c r="O428" s="4" t="str">
        <f t="shared" si="46"/>
        <v>KANHA</v>
      </c>
      <c r="P428" s="4" t="str">
        <f t="shared" si="47"/>
        <v>Could Be Cleaner</v>
      </c>
      <c r="Q428" s="4">
        <f t="shared" si="48"/>
        <v>10</v>
      </c>
    </row>
    <row r="429" spans="1:17">
      <c r="A429">
        <v>1428</v>
      </c>
      <c r="B429" t="s">
        <v>140</v>
      </c>
      <c r="C429" t="s">
        <v>18</v>
      </c>
      <c r="D429" t="s">
        <v>48</v>
      </c>
      <c r="E429" s="1">
        <v>45604</v>
      </c>
      <c r="F429">
        <v>171</v>
      </c>
      <c r="G429" t="s">
        <v>25</v>
      </c>
      <c r="H429">
        <v>4.8</v>
      </c>
      <c r="I429">
        <v>325</v>
      </c>
      <c r="J429" t="s">
        <v>30</v>
      </c>
      <c r="K429" t="str">
        <f t="shared" si="42"/>
        <v>Good</v>
      </c>
      <c r="L429">
        <f t="shared" si="43"/>
        <v>325</v>
      </c>
      <c r="M429" t="str">
        <f t="shared" si="44"/>
        <v>Long</v>
      </c>
      <c r="N429" s="4" t="str">
        <f t="shared" si="45"/>
        <v>Cam</v>
      </c>
      <c r="O429" s="4" t="str">
        <f t="shared" si="46"/>
        <v>SUNDARBANS</v>
      </c>
      <c r="P429" s="4" t="str">
        <f t="shared" si="47"/>
        <v>Good Guide Support</v>
      </c>
      <c r="Q429" s="4">
        <f t="shared" si="48"/>
        <v>11</v>
      </c>
    </row>
    <row r="430" spans="1:17">
      <c r="A430">
        <v>1429</v>
      </c>
      <c r="B430" t="s">
        <v>136</v>
      </c>
      <c r="C430" t="s">
        <v>41</v>
      </c>
      <c r="D430" t="s">
        <v>29</v>
      </c>
      <c r="E430" s="1">
        <v>45296</v>
      </c>
      <c r="F430">
        <v>30</v>
      </c>
      <c r="G430" t="s">
        <v>46</v>
      </c>
      <c r="H430">
        <v>4.8</v>
      </c>
      <c r="I430">
        <v>150</v>
      </c>
      <c r="J430" t="s">
        <v>50</v>
      </c>
      <c r="K430" t="str">
        <f t="shared" si="42"/>
        <v>Good</v>
      </c>
      <c r="L430">
        <f t="shared" si="43"/>
        <v>150</v>
      </c>
      <c r="M430" t="str">
        <f t="shared" si="44"/>
        <v>Medium</v>
      </c>
      <c r="N430" s="4" t="str">
        <f t="shared" si="45"/>
        <v>Hik</v>
      </c>
      <c r="O430" s="4" t="str">
        <f t="shared" si="46"/>
        <v>JIM CORBETT</v>
      </c>
      <c r="P430" s="4" t="str">
        <f t="shared" si="47"/>
        <v>Saw Rare Species</v>
      </c>
      <c r="Q430" s="4">
        <f t="shared" si="48"/>
        <v>11</v>
      </c>
    </row>
    <row r="431" spans="1:17">
      <c r="A431">
        <v>1430</v>
      </c>
      <c r="B431" t="s">
        <v>138</v>
      </c>
      <c r="C431" t="s">
        <v>28</v>
      </c>
      <c r="D431" t="s">
        <v>37</v>
      </c>
      <c r="E431" s="1">
        <v>45612</v>
      </c>
      <c r="F431">
        <v>20</v>
      </c>
      <c r="G431" t="s">
        <v>20</v>
      </c>
      <c r="H431">
        <v>3.9</v>
      </c>
      <c r="I431">
        <v>174</v>
      </c>
      <c r="J431" t="s">
        <v>32</v>
      </c>
      <c r="K431" t="str">
        <f t="shared" si="42"/>
        <v>Neutral</v>
      </c>
      <c r="L431">
        <f t="shared" si="43"/>
        <v>174</v>
      </c>
      <c r="M431" t="str">
        <f t="shared" si="44"/>
        <v>Short</v>
      </c>
      <c r="N431" s="4" t="str">
        <f t="shared" si="45"/>
        <v>Bir</v>
      </c>
      <c r="O431" s="4" t="str">
        <f t="shared" si="46"/>
        <v>PERIYAR</v>
      </c>
      <c r="P431" s="4" t="str">
        <f t="shared" si="47"/>
        <v>No Comments</v>
      </c>
      <c r="Q431" s="4">
        <f t="shared" si="48"/>
        <v>11</v>
      </c>
    </row>
    <row r="432" spans="1:17">
      <c r="A432">
        <v>1431</v>
      </c>
      <c r="B432" t="s">
        <v>142</v>
      </c>
      <c r="C432" t="s">
        <v>34</v>
      </c>
      <c r="D432" t="s">
        <v>24</v>
      </c>
      <c r="E432" s="1">
        <v>45415</v>
      </c>
      <c r="F432">
        <v>55</v>
      </c>
      <c r="G432" t="s">
        <v>20</v>
      </c>
      <c r="H432">
        <v>3.1</v>
      </c>
      <c r="I432">
        <v>334</v>
      </c>
      <c r="J432" t="s">
        <v>50</v>
      </c>
      <c r="K432" t="str">
        <f t="shared" si="42"/>
        <v>Neutral</v>
      </c>
      <c r="L432">
        <f t="shared" si="43"/>
        <v>334</v>
      </c>
      <c r="M432" t="str">
        <f t="shared" si="44"/>
        <v>Medium</v>
      </c>
      <c r="N432" s="4" t="str">
        <f t="shared" si="45"/>
        <v>Saf</v>
      </c>
      <c r="O432" s="4" t="str">
        <f t="shared" si="46"/>
        <v>GIR</v>
      </c>
      <c r="P432" s="4" t="str">
        <f t="shared" si="47"/>
        <v>Saw Rare Species</v>
      </c>
      <c r="Q432" s="4">
        <f t="shared" si="48"/>
        <v>11</v>
      </c>
    </row>
    <row r="433" spans="1:17">
      <c r="A433">
        <v>1432</v>
      </c>
      <c r="B433" t="s">
        <v>47</v>
      </c>
      <c r="C433" t="s">
        <v>43</v>
      </c>
      <c r="D433" t="s">
        <v>53</v>
      </c>
      <c r="E433" s="1">
        <v>45575</v>
      </c>
      <c r="F433">
        <v>70</v>
      </c>
      <c r="G433" t="s">
        <v>25</v>
      </c>
      <c r="H433">
        <v>3.6</v>
      </c>
      <c r="I433">
        <v>207</v>
      </c>
      <c r="J433" t="s">
        <v>73</v>
      </c>
      <c r="K433" t="str">
        <f t="shared" si="42"/>
        <v>Neutral</v>
      </c>
      <c r="L433">
        <f t="shared" si="43"/>
        <v>207</v>
      </c>
      <c r="M433" t="str">
        <f t="shared" si="44"/>
        <v>Medium</v>
      </c>
      <c r="N433" s="4" t="str">
        <f t="shared" si="45"/>
        <v>Boa</v>
      </c>
      <c r="O433" s="4" t="str">
        <f t="shared" si="46"/>
        <v>RANTHAMBORE</v>
      </c>
      <c r="P433" s="4" t="str">
        <f t="shared" si="47"/>
        <v>Peaceful Environment</v>
      </c>
      <c r="Q433" s="4">
        <f t="shared" si="48"/>
        <v>10</v>
      </c>
    </row>
    <row r="434" spans="1:17">
      <c r="A434">
        <v>1433</v>
      </c>
      <c r="B434" t="s">
        <v>108</v>
      </c>
      <c r="C434" t="s">
        <v>18</v>
      </c>
      <c r="D434" t="s">
        <v>29</v>
      </c>
      <c r="E434" s="1">
        <v>45502</v>
      </c>
      <c r="F434">
        <v>231</v>
      </c>
      <c r="G434" t="s">
        <v>20</v>
      </c>
      <c r="H434">
        <v>4.8</v>
      </c>
      <c r="I434">
        <v>195</v>
      </c>
      <c r="J434" t="s">
        <v>32</v>
      </c>
      <c r="K434" t="str">
        <f t="shared" si="42"/>
        <v>Good</v>
      </c>
      <c r="L434">
        <f t="shared" si="43"/>
        <v>195</v>
      </c>
      <c r="M434" t="str">
        <f t="shared" si="44"/>
        <v>Very Long</v>
      </c>
      <c r="N434" s="4" t="str">
        <f t="shared" si="45"/>
        <v>Hik</v>
      </c>
      <c r="O434" s="4" t="str">
        <f t="shared" si="46"/>
        <v>SUNDARBANS</v>
      </c>
      <c r="P434" s="4" t="str">
        <f t="shared" si="47"/>
        <v>No Comments</v>
      </c>
      <c r="Q434" s="4">
        <f t="shared" si="48"/>
        <v>10</v>
      </c>
    </row>
    <row r="435" spans="1:17">
      <c r="A435">
        <v>1434</v>
      </c>
      <c r="B435" t="s">
        <v>63</v>
      </c>
      <c r="C435" t="s">
        <v>52</v>
      </c>
      <c r="D435" t="s">
        <v>19</v>
      </c>
      <c r="E435" s="1">
        <v>45386</v>
      </c>
      <c r="F435">
        <v>71</v>
      </c>
      <c r="G435" t="s">
        <v>20</v>
      </c>
      <c r="H435">
        <v>5</v>
      </c>
      <c r="I435">
        <v>254</v>
      </c>
      <c r="J435" t="s">
        <v>35</v>
      </c>
      <c r="K435" t="str">
        <f t="shared" si="42"/>
        <v>Good</v>
      </c>
      <c r="L435">
        <f t="shared" si="43"/>
        <v>254</v>
      </c>
      <c r="M435" t="str">
        <f t="shared" si="44"/>
        <v>Medium</v>
      </c>
      <c r="N435" s="4" t="str">
        <f t="shared" si="45"/>
        <v>Pho</v>
      </c>
      <c r="O435" s="4" t="str">
        <f t="shared" si="46"/>
        <v>KAZIRANGA</v>
      </c>
      <c r="P435" s="4" t="str">
        <f t="shared" si="47"/>
        <v>Very Enjoyable</v>
      </c>
      <c r="Q435" s="4">
        <f t="shared" si="48"/>
        <v>10</v>
      </c>
    </row>
    <row r="436" spans="1:17">
      <c r="A436">
        <v>1435</v>
      </c>
      <c r="B436" t="s">
        <v>82</v>
      </c>
      <c r="C436" t="s">
        <v>34</v>
      </c>
      <c r="D436" t="s">
        <v>29</v>
      </c>
      <c r="E436" s="1">
        <v>45369</v>
      </c>
      <c r="F436">
        <v>65</v>
      </c>
      <c r="G436" t="s">
        <v>20</v>
      </c>
      <c r="H436">
        <v>2.6</v>
      </c>
      <c r="I436">
        <v>435</v>
      </c>
      <c r="J436" t="s">
        <v>73</v>
      </c>
      <c r="K436" t="str">
        <f t="shared" si="42"/>
        <v>Bad</v>
      </c>
      <c r="L436">
        <f t="shared" si="43"/>
        <v>435</v>
      </c>
      <c r="M436" t="str">
        <f t="shared" si="44"/>
        <v>Medium</v>
      </c>
      <c r="N436" s="4" t="str">
        <f t="shared" si="45"/>
        <v>Hik</v>
      </c>
      <c r="O436" s="4" t="str">
        <f t="shared" si="46"/>
        <v>GIR</v>
      </c>
      <c r="P436" s="4" t="str">
        <f t="shared" si="47"/>
        <v>Peaceful Environment</v>
      </c>
      <c r="Q436" s="4">
        <f t="shared" si="48"/>
        <v>11</v>
      </c>
    </row>
    <row r="437" spans="1:17">
      <c r="A437">
        <v>1436</v>
      </c>
      <c r="B437" t="s">
        <v>97</v>
      </c>
      <c r="C437" t="s">
        <v>45</v>
      </c>
      <c r="D437" t="s">
        <v>53</v>
      </c>
      <c r="E437" s="1">
        <v>45411</v>
      </c>
      <c r="F437">
        <v>197</v>
      </c>
      <c r="G437" t="s">
        <v>38</v>
      </c>
      <c r="H437">
        <v>2.9</v>
      </c>
      <c r="I437">
        <v>361</v>
      </c>
      <c r="J437" t="s">
        <v>50</v>
      </c>
      <c r="K437" t="str">
        <f t="shared" si="42"/>
        <v>Bad</v>
      </c>
      <c r="L437">
        <f t="shared" si="43"/>
        <v>361</v>
      </c>
      <c r="M437" t="str">
        <f t="shared" si="44"/>
        <v>Very Long</v>
      </c>
      <c r="N437" s="4" t="str">
        <f t="shared" si="45"/>
        <v>Boa</v>
      </c>
      <c r="O437" s="4" t="str">
        <f t="shared" si="46"/>
        <v>KANHA</v>
      </c>
      <c r="P437" s="4" t="str">
        <f t="shared" si="47"/>
        <v>Saw Rare Species</v>
      </c>
      <c r="Q437" s="4">
        <f t="shared" si="48"/>
        <v>11</v>
      </c>
    </row>
    <row r="438" spans="1:17">
      <c r="A438">
        <v>1437</v>
      </c>
      <c r="B438" t="s">
        <v>51</v>
      </c>
      <c r="C438" t="s">
        <v>52</v>
      </c>
      <c r="D438" t="s">
        <v>53</v>
      </c>
      <c r="E438" s="1">
        <v>45380</v>
      </c>
      <c r="F438">
        <v>51</v>
      </c>
      <c r="G438" t="s">
        <v>38</v>
      </c>
      <c r="H438">
        <v>3.3</v>
      </c>
      <c r="I438">
        <v>333</v>
      </c>
      <c r="J438" t="s">
        <v>21</v>
      </c>
      <c r="K438" t="str">
        <f t="shared" si="42"/>
        <v>Neutral</v>
      </c>
      <c r="L438">
        <f t="shared" si="43"/>
        <v>333</v>
      </c>
      <c r="M438" t="str">
        <f t="shared" si="44"/>
        <v>Medium</v>
      </c>
      <c r="N438" s="4" t="str">
        <f t="shared" si="45"/>
        <v>Boa</v>
      </c>
      <c r="O438" s="4" t="str">
        <f t="shared" si="46"/>
        <v>KAZIRANGA</v>
      </c>
      <c r="P438" s="4" t="str">
        <f t="shared" si="47"/>
        <v>Too Crowded</v>
      </c>
      <c r="Q438" s="4">
        <f t="shared" si="48"/>
        <v>11</v>
      </c>
    </row>
    <row r="439" spans="1:17">
      <c r="A439">
        <v>1438</v>
      </c>
      <c r="B439" t="s">
        <v>61</v>
      </c>
      <c r="C439" t="s">
        <v>41</v>
      </c>
      <c r="D439" t="s">
        <v>19</v>
      </c>
      <c r="E439" s="1">
        <v>45513</v>
      </c>
      <c r="F439">
        <v>105</v>
      </c>
      <c r="G439" t="s">
        <v>46</v>
      </c>
      <c r="H439">
        <v>4.8</v>
      </c>
      <c r="I439">
        <v>384</v>
      </c>
      <c r="J439" t="s">
        <v>30</v>
      </c>
      <c r="K439" t="str">
        <f t="shared" si="42"/>
        <v>Good</v>
      </c>
      <c r="L439">
        <f t="shared" si="43"/>
        <v>384</v>
      </c>
      <c r="M439" t="str">
        <f t="shared" si="44"/>
        <v>Long</v>
      </c>
      <c r="N439" s="4" t="str">
        <f t="shared" si="45"/>
        <v>Pho</v>
      </c>
      <c r="O439" s="4" t="str">
        <f t="shared" si="46"/>
        <v>JIM CORBETT</v>
      </c>
      <c r="P439" s="4" t="str">
        <f t="shared" si="47"/>
        <v>Good Guide Support</v>
      </c>
      <c r="Q439" s="4">
        <f t="shared" si="48"/>
        <v>11</v>
      </c>
    </row>
    <row r="440" spans="1:17">
      <c r="A440">
        <v>1439</v>
      </c>
      <c r="B440" t="s">
        <v>129</v>
      </c>
      <c r="C440" t="s">
        <v>28</v>
      </c>
      <c r="D440" t="s">
        <v>53</v>
      </c>
      <c r="E440" s="1">
        <v>45391</v>
      </c>
      <c r="F440">
        <v>240</v>
      </c>
      <c r="G440" t="s">
        <v>25</v>
      </c>
      <c r="H440">
        <v>3.4</v>
      </c>
      <c r="I440">
        <v>288</v>
      </c>
      <c r="J440" t="s">
        <v>30</v>
      </c>
      <c r="K440" t="str">
        <f t="shared" si="42"/>
        <v>Neutral</v>
      </c>
      <c r="L440">
        <f t="shared" si="43"/>
        <v>288</v>
      </c>
      <c r="M440" t="str">
        <f t="shared" si="44"/>
        <v>Very Long</v>
      </c>
      <c r="N440" s="4" t="str">
        <f t="shared" si="45"/>
        <v>Boa</v>
      </c>
      <c r="O440" s="4" t="str">
        <f t="shared" si="46"/>
        <v>PERIYAR</v>
      </c>
      <c r="P440" s="4" t="str">
        <f t="shared" si="47"/>
        <v>Good Guide Support</v>
      </c>
      <c r="Q440" s="4">
        <f t="shared" si="48"/>
        <v>12</v>
      </c>
    </row>
    <row r="441" spans="1:17">
      <c r="A441">
        <v>1440</v>
      </c>
      <c r="B441" t="s">
        <v>22</v>
      </c>
      <c r="C441" t="s">
        <v>34</v>
      </c>
      <c r="D441" t="s">
        <v>24</v>
      </c>
      <c r="E441" s="1">
        <v>45519</v>
      </c>
      <c r="F441">
        <v>45</v>
      </c>
      <c r="G441" t="s">
        <v>20</v>
      </c>
      <c r="H441">
        <v>3</v>
      </c>
      <c r="I441">
        <v>466</v>
      </c>
      <c r="J441" t="s">
        <v>21</v>
      </c>
      <c r="K441" t="str">
        <f t="shared" si="42"/>
        <v>Neutral</v>
      </c>
      <c r="L441">
        <f t="shared" si="43"/>
        <v>466</v>
      </c>
      <c r="M441" t="str">
        <f t="shared" si="44"/>
        <v>Medium</v>
      </c>
      <c r="N441" s="4" t="str">
        <f t="shared" si="45"/>
        <v>Saf</v>
      </c>
      <c r="O441" s="4" t="str">
        <f t="shared" si="46"/>
        <v>GIR</v>
      </c>
      <c r="P441" s="4" t="str">
        <f t="shared" si="47"/>
        <v>Too Crowded</v>
      </c>
      <c r="Q441" s="4">
        <f t="shared" si="48"/>
        <v>11</v>
      </c>
    </row>
    <row r="442" spans="1:17">
      <c r="A442">
        <v>1441</v>
      </c>
      <c r="B442" t="s">
        <v>56</v>
      </c>
      <c r="C442" t="s">
        <v>41</v>
      </c>
      <c r="D442" t="s">
        <v>37</v>
      </c>
      <c r="E442" s="1">
        <v>45322</v>
      </c>
      <c r="F442">
        <v>174</v>
      </c>
      <c r="G442" t="s">
        <v>25</v>
      </c>
      <c r="H442">
        <v>3.7</v>
      </c>
      <c r="I442">
        <v>237</v>
      </c>
      <c r="J442" t="s">
        <v>50</v>
      </c>
      <c r="K442" t="str">
        <f t="shared" si="42"/>
        <v>Neutral</v>
      </c>
      <c r="L442">
        <f t="shared" si="43"/>
        <v>237</v>
      </c>
      <c r="M442" t="str">
        <f t="shared" si="44"/>
        <v>Long</v>
      </c>
      <c r="N442" s="4" t="str">
        <f t="shared" si="45"/>
        <v>Bir</v>
      </c>
      <c r="O442" s="4" t="str">
        <f t="shared" si="46"/>
        <v>JIM CORBETT</v>
      </c>
      <c r="P442" s="4" t="str">
        <f t="shared" si="47"/>
        <v>Saw Rare Species</v>
      </c>
      <c r="Q442" s="4">
        <f t="shared" si="48"/>
        <v>12</v>
      </c>
    </row>
    <row r="443" spans="1:17">
      <c r="A443">
        <v>1442</v>
      </c>
      <c r="B443" t="s">
        <v>124</v>
      </c>
      <c r="C443" t="s">
        <v>23</v>
      </c>
      <c r="D443" t="s">
        <v>48</v>
      </c>
      <c r="E443" s="1">
        <v>45465</v>
      </c>
      <c r="F443">
        <v>44</v>
      </c>
      <c r="G443" t="s">
        <v>25</v>
      </c>
      <c r="H443">
        <v>3.5</v>
      </c>
      <c r="I443">
        <v>144</v>
      </c>
      <c r="J443" t="s">
        <v>73</v>
      </c>
      <c r="K443" t="str">
        <f t="shared" si="42"/>
        <v>Neutral</v>
      </c>
      <c r="L443">
        <f t="shared" si="43"/>
        <v>144</v>
      </c>
      <c r="M443" t="str">
        <f t="shared" si="44"/>
        <v>Medium</v>
      </c>
      <c r="N443" s="4" t="str">
        <f t="shared" si="45"/>
        <v>Cam</v>
      </c>
      <c r="O443" s="4" t="str">
        <f t="shared" si="46"/>
        <v>BANDHAVGARH</v>
      </c>
      <c r="P443" s="4" t="str">
        <f t="shared" si="47"/>
        <v>Peaceful Environment</v>
      </c>
      <c r="Q443" s="4">
        <f t="shared" si="48"/>
        <v>11</v>
      </c>
    </row>
    <row r="444" spans="1:17">
      <c r="A444">
        <v>1443</v>
      </c>
      <c r="B444" t="s">
        <v>143</v>
      </c>
      <c r="C444" t="s">
        <v>23</v>
      </c>
      <c r="D444" t="s">
        <v>29</v>
      </c>
      <c r="E444" s="1">
        <v>45583</v>
      </c>
      <c r="F444">
        <v>159</v>
      </c>
      <c r="G444" t="s">
        <v>46</v>
      </c>
      <c r="H444">
        <v>4.4000000000000004</v>
      </c>
      <c r="I444">
        <v>413</v>
      </c>
      <c r="J444" t="s">
        <v>50</v>
      </c>
      <c r="K444" t="str">
        <f t="shared" si="42"/>
        <v>Good</v>
      </c>
      <c r="L444">
        <f t="shared" si="43"/>
        <v>413</v>
      </c>
      <c r="M444" t="str">
        <f t="shared" si="44"/>
        <v>Long</v>
      </c>
      <c r="N444" s="4" t="str">
        <f t="shared" si="45"/>
        <v>Hik</v>
      </c>
      <c r="O444" s="4" t="str">
        <f t="shared" si="46"/>
        <v>BANDHAVGARH</v>
      </c>
      <c r="P444" s="4" t="str">
        <f t="shared" si="47"/>
        <v>Saw Rare Species</v>
      </c>
      <c r="Q444" s="4">
        <f t="shared" si="48"/>
        <v>10</v>
      </c>
    </row>
    <row r="445" spans="1:17">
      <c r="A445">
        <v>1444</v>
      </c>
      <c r="B445" t="s">
        <v>112</v>
      </c>
      <c r="C445" t="s">
        <v>18</v>
      </c>
      <c r="D445" t="s">
        <v>24</v>
      </c>
      <c r="E445" s="1">
        <v>45338</v>
      </c>
      <c r="F445">
        <v>67</v>
      </c>
      <c r="G445" t="s">
        <v>38</v>
      </c>
      <c r="H445">
        <v>2.7</v>
      </c>
      <c r="I445">
        <v>400</v>
      </c>
      <c r="J445" t="s">
        <v>73</v>
      </c>
      <c r="K445" t="str">
        <f t="shared" si="42"/>
        <v>Bad</v>
      </c>
      <c r="L445">
        <f t="shared" si="43"/>
        <v>400</v>
      </c>
      <c r="M445" t="str">
        <f t="shared" si="44"/>
        <v>Medium</v>
      </c>
      <c r="N445" s="4" t="str">
        <f t="shared" si="45"/>
        <v>Saf</v>
      </c>
      <c r="O445" s="4" t="str">
        <f t="shared" si="46"/>
        <v>SUNDARBANS</v>
      </c>
      <c r="P445" s="4" t="str">
        <f t="shared" si="47"/>
        <v>Peaceful Environment</v>
      </c>
      <c r="Q445" s="4">
        <f t="shared" si="48"/>
        <v>12</v>
      </c>
    </row>
    <row r="446" spans="1:17">
      <c r="A446">
        <v>1445</v>
      </c>
      <c r="B446" t="s">
        <v>75</v>
      </c>
      <c r="C446" t="s">
        <v>18</v>
      </c>
      <c r="D446" t="s">
        <v>29</v>
      </c>
      <c r="E446" s="1">
        <v>45404</v>
      </c>
      <c r="F446">
        <v>66</v>
      </c>
      <c r="G446" t="s">
        <v>25</v>
      </c>
      <c r="H446">
        <v>4.5</v>
      </c>
      <c r="I446">
        <v>113</v>
      </c>
      <c r="J446" t="s">
        <v>66</v>
      </c>
      <c r="K446" t="str">
        <f t="shared" si="42"/>
        <v>Good</v>
      </c>
      <c r="L446">
        <f t="shared" si="43"/>
        <v>113</v>
      </c>
      <c r="M446" t="str">
        <f t="shared" si="44"/>
        <v>Medium</v>
      </c>
      <c r="N446" s="4" t="str">
        <f t="shared" si="45"/>
        <v>Hik</v>
      </c>
      <c r="O446" s="4" t="str">
        <f t="shared" si="46"/>
        <v>SUNDARBANS</v>
      </c>
      <c r="P446" s="4" t="str">
        <f t="shared" si="47"/>
        <v>Amazing Experience</v>
      </c>
      <c r="Q446" s="4">
        <f t="shared" si="48"/>
        <v>12</v>
      </c>
    </row>
    <row r="447" spans="1:17">
      <c r="A447">
        <v>1446</v>
      </c>
      <c r="B447" t="s">
        <v>61</v>
      </c>
      <c r="C447" t="s">
        <v>41</v>
      </c>
      <c r="D447" t="s">
        <v>48</v>
      </c>
      <c r="E447" s="1">
        <v>45628</v>
      </c>
      <c r="F447">
        <v>232</v>
      </c>
      <c r="G447" t="s">
        <v>38</v>
      </c>
      <c r="H447">
        <v>3.1</v>
      </c>
      <c r="I447">
        <v>224</v>
      </c>
      <c r="J447" t="s">
        <v>26</v>
      </c>
      <c r="K447" t="str">
        <f t="shared" si="42"/>
        <v>Neutral</v>
      </c>
      <c r="L447">
        <f t="shared" si="43"/>
        <v>224</v>
      </c>
      <c r="M447" t="str">
        <f t="shared" si="44"/>
        <v>Very Long</v>
      </c>
      <c r="N447" s="4" t="str">
        <f t="shared" si="45"/>
        <v>Cam</v>
      </c>
      <c r="O447" s="4" t="str">
        <f t="shared" si="46"/>
        <v>JIM CORBETT</v>
      </c>
      <c r="P447" s="4" t="str">
        <f t="shared" si="47"/>
        <v>Excellent Wildlife View</v>
      </c>
      <c r="Q447" s="4">
        <f t="shared" si="48"/>
        <v>11</v>
      </c>
    </row>
    <row r="448" spans="1:17">
      <c r="A448">
        <v>1447</v>
      </c>
      <c r="B448" t="s">
        <v>27</v>
      </c>
      <c r="C448" t="s">
        <v>43</v>
      </c>
      <c r="D448" t="s">
        <v>24</v>
      </c>
      <c r="E448" s="1">
        <v>45415</v>
      </c>
      <c r="F448">
        <v>97</v>
      </c>
      <c r="G448" t="s">
        <v>38</v>
      </c>
      <c r="H448">
        <v>4.8</v>
      </c>
      <c r="I448">
        <v>140</v>
      </c>
      <c r="J448" t="s">
        <v>66</v>
      </c>
      <c r="K448" t="str">
        <f t="shared" si="42"/>
        <v>Good</v>
      </c>
      <c r="L448">
        <f t="shared" si="43"/>
        <v>140</v>
      </c>
      <c r="M448" t="str">
        <f t="shared" si="44"/>
        <v>Long</v>
      </c>
      <c r="N448" s="4" t="str">
        <f t="shared" si="45"/>
        <v>Saf</v>
      </c>
      <c r="O448" s="4" t="str">
        <f t="shared" si="46"/>
        <v>RANTHAMBORE</v>
      </c>
      <c r="P448" s="4" t="str">
        <f t="shared" si="47"/>
        <v>Amazing Experience</v>
      </c>
      <c r="Q448" s="4">
        <f t="shared" si="48"/>
        <v>10</v>
      </c>
    </row>
    <row r="449" spans="1:17">
      <c r="A449">
        <v>1448</v>
      </c>
      <c r="B449" t="s">
        <v>117</v>
      </c>
      <c r="C449" t="s">
        <v>28</v>
      </c>
      <c r="D449" t="s">
        <v>24</v>
      </c>
      <c r="E449" s="1">
        <v>45312</v>
      </c>
      <c r="F449">
        <v>90</v>
      </c>
      <c r="G449" t="s">
        <v>25</v>
      </c>
      <c r="H449">
        <v>3.4</v>
      </c>
      <c r="I449">
        <v>147</v>
      </c>
      <c r="J449" t="s">
        <v>66</v>
      </c>
      <c r="K449" t="str">
        <f t="shared" si="42"/>
        <v>Neutral</v>
      </c>
      <c r="L449">
        <f t="shared" si="43"/>
        <v>147</v>
      </c>
      <c r="M449" t="str">
        <f t="shared" si="44"/>
        <v>Long</v>
      </c>
      <c r="N449" s="4" t="str">
        <f t="shared" si="45"/>
        <v>Saf</v>
      </c>
      <c r="O449" s="4" t="str">
        <f t="shared" si="46"/>
        <v>PERIYAR</v>
      </c>
      <c r="P449" s="4" t="str">
        <f t="shared" si="47"/>
        <v>Amazing Experience</v>
      </c>
      <c r="Q449" s="4">
        <f t="shared" si="48"/>
        <v>11</v>
      </c>
    </row>
    <row r="450" spans="1:17">
      <c r="A450">
        <v>1449</v>
      </c>
      <c r="B450" t="s">
        <v>101</v>
      </c>
      <c r="C450" t="s">
        <v>43</v>
      </c>
      <c r="D450" t="s">
        <v>37</v>
      </c>
      <c r="E450" s="1">
        <v>45466</v>
      </c>
      <c r="F450">
        <v>157</v>
      </c>
      <c r="G450" t="s">
        <v>25</v>
      </c>
      <c r="H450">
        <v>4</v>
      </c>
      <c r="I450">
        <v>499</v>
      </c>
      <c r="J450" t="s">
        <v>21</v>
      </c>
      <c r="K450" t="str">
        <f t="shared" ref="K450:K501" si="49">IF(H450&gt;4,"Good",IF(H450&gt;=3,"Neutral","Bad"))</f>
        <v>Neutral</v>
      </c>
      <c r="L450">
        <f t="shared" ref="L450:L501" si="50">ROUND(I450,0)</f>
        <v>499</v>
      </c>
      <c r="M450" t="str">
        <f t="shared" ref="M450:M501" si="51">IF(F450&lt;30,"Short",IF(F450&lt;90,"Medium",IF(F450&lt;180,"Long","Very Long")))</f>
        <v>Long</v>
      </c>
      <c r="N450" s="4" t="str">
        <f t="shared" ref="N450:N501" si="52">LEFT(D450,3)</f>
        <v>Bir</v>
      </c>
      <c r="O450" s="4" t="str">
        <f t="shared" ref="O450:O501" si="53">UPPER(C450)</f>
        <v>RANTHAMBORE</v>
      </c>
      <c r="P450" s="4" t="str">
        <f t="shared" ref="P450:P501" si="54">PROPER(J450)</f>
        <v>Too Crowded</v>
      </c>
      <c r="Q450" s="4">
        <f t="shared" ref="Q450:Q501" si="55">LEN(B450)</f>
        <v>11</v>
      </c>
    </row>
    <row r="451" spans="1:17">
      <c r="A451">
        <v>1450</v>
      </c>
      <c r="B451" t="s">
        <v>67</v>
      </c>
      <c r="C451" t="s">
        <v>23</v>
      </c>
      <c r="D451" t="s">
        <v>37</v>
      </c>
      <c r="E451" s="1">
        <v>45426</v>
      </c>
      <c r="F451">
        <v>121</v>
      </c>
      <c r="G451" t="s">
        <v>25</v>
      </c>
      <c r="H451">
        <v>3</v>
      </c>
      <c r="I451">
        <v>430</v>
      </c>
      <c r="J451" t="s">
        <v>50</v>
      </c>
      <c r="K451" t="str">
        <f t="shared" si="49"/>
        <v>Neutral</v>
      </c>
      <c r="L451">
        <f t="shared" si="50"/>
        <v>430</v>
      </c>
      <c r="M451" t="str">
        <f t="shared" si="51"/>
        <v>Long</v>
      </c>
      <c r="N451" s="4" t="str">
        <f t="shared" si="52"/>
        <v>Bir</v>
      </c>
      <c r="O451" s="4" t="str">
        <f t="shared" si="53"/>
        <v>BANDHAVGARH</v>
      </c>
      <c r="P451" s="4" t="str">
        <f t="shared" si="54"/>
        <v>Saw Rare Species</v>
      </c>
      <c r="Q451" s="4">
        <f t="shared" si="55"/>
        <v>11</v>
      </c>
    </row>
    <row r="452" spans="1:17">
      <c r="A452">
        <v>1451</v>
      </c>
      <c r="B452" t="s">
        <v>141</v>
      </c>
      <c r="C452" t="s">
        <v>41</v>
      </c>
      <c r="D452" t="s">
        <v>48</v>
      </c>
      <c r="E452" s="1">
        <v>45299</v>
      </c>
      <c r="F452">
        <v>112</v>
      </c>
      <c r="G452" t="s">
        <v>25</v>
      </c>
      <c r="H452">
        <v>3.4</v>
      </c>
      <c r="I452">
        <v>165</v>
      </c>
      <c r="J452" t="s">
        <v>68</v>
      </c>
      <c r="K452" t="str">
        <f t="shared" si="49"/>
        <v>Neutral</v>
      </c>
      <c r="L452">
        <f t="shared" si="50"/>
        <v>165</v>
      </c>
      <c r="M452" t="str">
        <f t="shared" si="51"/>
        <v>Long</v>
      </c>
      <c r="N452" s="4" t="str">
        <f t="shared" si="52"/>
        <v>Cam</v>
      </c>
      <c r="O452" s="4" t="str">
        <f t="shared" si="53"/>
        <v>JIM CORBETT</v>
      </c>
      <c r="P452" s="4" t="str">
        <f t="shared" si="54"/>
        <v>Average Service</v>
      </c>
      <c r="Q452" s="4">
        <f t="shared" si="55"/>
        <v>11</v>
      </c>
    </row>
    <row r="453" spans="1:17">
      <c r="A453">
        <v>1452</v>
      </c>
      <c r="B453" t="s">
        <v>139</v>
      </c>
      <c r="C453" t="s">
        <v>45</v>
      </c>
      <c r="D453" t="s">
        <v>29</v>
      </c>
      <c r="E453" s="1">
        <v>45560</v>
      </c>
      <c r="F453">
        <v>132</v>
      </c>
      <c r="G453" t="s">
        <v>46</v>
      </c>
      <c r="H453">
        <v>3</v>
      </c>
      <c r="I453">
        <v>289</v>
      </c>
      <c r="J453" t="s">
        <v>54</v>
      </c>
      <c r="K453" t="str">
        <f t="shared" si="49"/>
        <v>Neutral</v>
      </c>
      <c r="L453">
        <f t="shared" si="50"/>
        <v>289</v>
      </c>
      <c r="M453" t="str">
        <f t="shared" si="51"/>
        <v>Long</v>
      </c>
      <c r="N453" s="4" t="str">
        <f t="shared" si="52"/>
        <v>Hik</v>
      </c>
      <c r="O453" s="4" t="str">
        <f t="shared" si="53"/>
        <v>KANHA</v>
      </c>
      <c r="P453" s="4" t="str">
        <f t="shared" si="54"/>
        <v>Could Be Cleaner</v>
      </c>
      <c r="Q453" s="4">
        <f t="shared" si="55"/>
        <v>9</v>
      </c>
    </row>
    <row r="454" spans="1:17">
      <c r="A454">
        <v>1453</v>
      </c>
      <c r="B454" t="s">
        <v>109</v>
      </c>
      <c r="C454" t="s">
        <v>52</v>
      </c>
      <c r="D454" t="s">
        <v>48</v>
      </c>
      <c r="E454" s="1">
        <v>45413</v>
      </c>
      <c r="F454">
        <v>30</v>
      </c>
      <c r="G454" t="s">
        <v>20</v>
      </c>
      <c r="H454">
        <v>3.6</v>
      </c>
      <c r="I454">
        <v>182</v>
      </c>
      <c r="J454" t="s">
        <v>66</v>
      </c>
      <c r="K454" t="str">
        <f t="shared" si="49"/>
        <v>Neutral</v>
      </c>
      <c r="L454">
        <f t="shared" si="50"/>
        <v>182</v>
      </c>
      <c r="M454" t="str">
        <f t="shared" si="51"/>
        <v>Medium</v>
      </c>
      <c r="N454" s="4" t="str">
        <f t="shared" si="52"/>
        <v>Cam</v>
      </c>
      <c r="O454" s="4" t="str">
        <f t="shared" si="53"/>
        <v>KAZIRANGA</v>
      </c>
      <c r="P454" s="4" t="str">
        <f t="shared" si="54"/>
        <v>Amazing Experience</v>
      </c>
      <c r="Q454" s="4">
        <f t="shared" si="55"/>
        <v>11</v>
      </c>
    </row>
    <row r="455" spans="1:17">
      <c r="A455">
        <v>1454</v>
      </c>
      <c r="B455" t="s">
        <v>64</v>
      </c>
      <c r="C455" t="s">
        <v>23</v>
      </c>
      <c r="D455" t="s">
        <v>24</v>
      </c>
      <c r="E455" s="1">
        <v>45615</v>
      </c>
      <c r="F455">
        <v>217</v>
      </c>
      <c r="G455" t="s">
        <v>25</v>
      </c>
      <c r="H455">
        <v>2.7</v>
      </c>
      <c r="I455">
        <v>443</v>
      </c>
      <c r="J455" t="s">
        <v>21</v>
      </c>
      <c r="K455" t="str">
        <f t="shared" si="49"/>
        <v>Bad</v>
      </c>
      <c r="L455">
        <f t="shared" si="50"/>
        <v>443</v>
      </c>
      <c r="M455" t="str">
        <f t="shared" si="51"/>
        <v>Very Long</v>
      </c>
      <c r="N455" s="4" t="str">
        <f t="shared" si="52"/>
        <v>Saf</v>
      </c>
      <c r="O455" s="4" t="str">
        <f t="shared" si="53"/>
        <v>BANDHAVGARH</v>
      </c>
      <c r="P455" s="4" t="str">
        <f t="shared" si="54"/>
        <v>Too Crowded</v>
      </c>
      <c r="Q455" s="4">
        <f t="shared" si="55"/>
        <v>11</v>
      </c>
    </row>
    <row r="456" spans="1:17">
      <c r="A456">
        <v>1455</v>
      </c>
      <c r="B456" t="s">
        <v>36</v>
      </c>
      <c r="C456" t="s">
        <v>52</v>
      </c>
      <c r="D456" t="s">
        <v>24</v>
      </c>
      <c r="E456" s="1">
        <v>45591</v>
      </c>
      <c r="F456">
        <v>132</v>
      </c>
      <c r="G456" t="s">
        <v>20</v>
      </c>
      <c r="H456">
        <v>4.9000000000000004</v>
      </c>
      <c r="I456">
        <v>168</v>
      </c>
      <c r="J456" t="s">
        <v>21</v>
      </c>
      <c r="K456" t="str">
        <f t="shared" si="49"/>
        <v>Good</v>
      </c>
      <c r="L456">
        <f t="shared" si="50"/>
        <v>168</v>
      </c>
      <c r="M456" t="str">
        <f t="shared" si="51"/>
        <v>Long</v>
      </c>
      <c r="N456" s="4" t="str">
        <f t="shared" si="52"/>
        <v>Saf</v>
      </c>
      <c r="O456" s="4" t="str">
        <f t="shared" si="53"/>
        <v>KAZIRANGA</v>
      </c>
      <c r="P456" s="4" t="str">
        <f t="shared" si="54"/>
        <v>Too Crowded</v>
      </c>
      <c r="Q456" s="4">
        <f t="shared" si="55"/>
        <v>12</v>
      </c>
    </row>
    <row r="457" spans="1:17">
      <c r="A457">
        <v>1456</v>
      </c>
      <c r="B457" t="s">
        <v>36</v>
      </c>
      <c r="C457" t="s">
        <v>23</v>
      </c>
      <c r="D457" t="s">
        <v>24</v>
      </c>
      <c r="E457" s="1">
        <v>45548</v>
      </c>
      <c r="F457">
        <v>204</v>
      </c>
      <c r="G457" t="s">
        <v>46</v>
      </c>
      <c r="H457">
        <v>4.3</v>
      </c>
      <c r="I457">
        <v>290</v>
      </c>
      <c r="J457" t="s">
        <v>50</v>
      </c>
      <c r="K457" t="str">
        <f t="shared" si="49"/>
        <v>Good</v>
      </c>
      <c r="L457">
        <f t="shared" si="50"/>
        <v>290</v>
      </c>
      <c r="M457" t="str">
        <f t="shared" si="51"/>
        <v>Very Long</v>
      </c>
      <c r="N457" s="4" t="str">
        <f t="shared" si="52"/>
        <v>Saf</v>
      </c>
      <c r="O457" s="4" t="str">
        <f t="shared" si="53"/>
        <v>BANDHAVGARH</v>
      </c>
      <c r="P457" s="4" t="str">
        <f t="shared" si="54"/>
        <v>Saw Rare Species</v>
      </c>
      <c r="Q457" s="4">
        <f t="shared" si="55"/>
        <v>12</v>
      </c>
    </row>
    <row r="458" spans="1:17">
      <c r="A458">
        <v>1457</v>
      </c>
      <c r="B458" t="s">
        <v>90</v>
      </c>
      <c r="C458" t="s">
        <v>34</v>
      </c>
      <c r="D458" t="s">
        <v>53</v>
      </c>
      <c r="E458" s="1">
        <v>45584</v>
      </c>
      <c r="F458">
        <v>152</v>
      </c>
      <c r="G458" t="s">
        <v>38</v>
      </c>
      <c r="H458">
        <v>4.2</v>
      </c>
      <c r="I458">
        <v>150</v>
      </c>
      <c r="J458" t="s">
        <v>54</v>
      </c>
      <c r="K458" t="str">
        <f t="shared" si="49"/>
        <v>Good</v>
      </c>
      <c r="L458">
        <f t="shared" si="50"/>
        <v>150</v>
      </c>
      <c r="M458" t="str">
        <f t="shared" si="51"/>
        <v>Long</v>
      </c>
      <c r="N458" s="4" t="str">
        <f t="shared" si="52"/>
        <v>Boa</v>
      </c>
      <c r="O458" s="4" t="str">
        <f t="shared" si="53"/>
        <v>GIR</v>
      </c>
      <c r="P458" s="4" t="str">
        <f t="shared" si="54"/>
        <v>Could Be Cleaner</v>
      </c>
      <c r="Q458" s="4">
        <f t="shared" si="55"/>
        <v>12</v>
      </c>
    </row>
    <row r="459" spans="1:17">
      <c r="A459">
        <v>1458</v>
      </c>
      <c r="B459" t="s">
        <v>69</v>
      </c>
      <c r="C459" t="s">
        <v>41</v>
      </c>
      <c r="D459" t="s">
        <v>19</v>
      </c>
      <c r="E459" s="1">
        <v>45518</v>
      </c>
      <c r="F459">
        <v>56</v>
      </c>
      <c r="G459" t="s">
        <v>25</v>
      </c>
      <c r="H459">
        <v>3</v>
      </c>
      <c r="I459">
        <v>291</v>
      </c>
      <c r="J459" t="s">
        <v>54</v>
      </c>
      <c r="K459" t="str">
        <f t="shared" si="49"/>
        <v>Neutral</v>
      </c>
      <c r="L459">
        <f t="shared" si="50"/>
        <v>291</v>
      </c>
      <c r="M459" t="str">
        <f t="shared" si="51"/>
        <v>Medium</v>
      </c>
      <c r="N459" s="4" t="str">
        <f t="shared" si="52"/>
        <v>Pho</v>
      </c>
      <c r="O459" s="4" t="str">
        <f t="shared" si="53"/>
        <v>JIM CORBETT</v>
      </c>
      <c r="P459" s="4" t="str">
        <f t="shared" si="54"/>
        <v>Could Be Cleaner</v>
      </c>
      <c r="Q459" s="4">
        <f t="shared" si="55"/>
        <v>12</v>
      </c>
    </row>
    <row r="460" spans="1:17">
      <c r="A460">
        <v>1459</v>
      </c>
      <c r="B460" t="s">
        <v>39</v>
      </c>
      <c r="C460" t="s">
        <v>18</v>
      </c>
      <c r="D460" t="s">
        <v>24</v>
      </c>
      <c r="E460" s="1">
        <v>45323</v>
      </c>
      <c r="F460">
        <v>113</v>
      </c>
      <c r="G460" t="s">
        <v>20</v>
      </c>
      <c r="H460">
        <v>3.8</v>
      </c>
      <c r="I460">
        <v>449</v>
      </c>
      <c r="J460" t="s">
        <v>50</v>
      </c>
      <c r="K460" t="str">
        <f t="shared" si="49"/>
        <v>Neutral</v>
      </c>
      <c r="L460">
        <f t="shared" si="50"/>
        <v>449</v>
      </c>
      <c r="M460" t="str">
        <f t="shared" si="51"/>
        <v>Long</v>
      </c>
      <c r="N460" s="4" t="str">
        <f t="shared" si="52"/>
        <v>Saf</v>
      </c>
      <c r="O460" s="4" t="str">
        <f t="shared" si="53"/>
        <v>SUNDARBANS</v>
      </c>
      <c r="P460" s="4" t="str">
        <f t="shared" si="54"/>
        <v>Saw Rare Species</v>
      </c>
      <c r="Q460" s="4">
        <f t="shared" si="55"/>
        <v>11</v>
      </c>
    </row>
    <row r="461" spans="1:17">
      <c r="A461">
        <v>1460</v>
      </c>
      <c r="B461" t="s">
        <v>127</v>
      </c>
      <c r="C461" t="s">
        <v>28</v>
      </c>
      <c r="D461" t="s">
        <v>48</v>
      </c>
      <c r="E461" s="1">
        <v>45437</v>
      </c>
      <c r="F461">
        <v>143</v>
      </c>
      <c r="G461" t="s">
        <v>38</v>
      </c>
      <c r="H461">
        <v>3.3</v>
      </c>
      <c r="I461">
        <v>328</v>
      </c>
      <c r="J461" t="s">
        <v>54</v>
      </c>
      <c r="K461" t="str">
        <f t="shared" si="49"/>
        <v>Neutral</v>
      </c>
      <c r="L461">
        <f t="shared" si="50"/>
        <v>328</v>
      </c>
      <c r="M461" t="str">
        <f t="shared" si="51"/>
        <v>Long</v>
      </c>
      <c r="N461" s="4" t="str">
        <f t="shared" si="52"/>
        <v>Cam</v>
      </c>
      <c r="O461" s="4" t="str">
        <f t="shared" si="53"/>
        <v>PERIYAR</v>
      </c>
      <c r="P461" s="4" t="str">
        <f t="shared" si="54"/>
        <v>Could Be Cleaner</v>
      </c>
      <c r="Q461" s="4">
        <f t="shared" si="55"/>
        <v>10</v>
      </c>
    </row>
    <row r="462" spans="1:17">
      <c r="A462">
        <v>1461</v>
      </c>
      <c r="B462" t="s">
        <v>96</v>
      </c>
      <c r="C462" t="s">
        <v>23</v>
      </c>
      <c r="D462" t="s">
        <v>24</v>
      </c>
      <c r="E462" s="1">
        <v>45605</v>
      </c>
      <c r="F462">
        <v>225</v>
      </c>
      <c r="G462" t="s">
        <v>20</v>
      </c>
      <c r="H462">
        <v>3.7</v>
      </c>
      <c r="I462">
        <v>271</v>
      </c>
      <c r="J462" t="s">
        <v>50</v>
      </c>
      <c r="K462" t="str">
        <f t="shared" si="49"/>
        <v>Neutral</v>
      </c>
      <c r="L462">
        <f t="shared" si="50"/>
        <v>271</v>
      </c>
      <c r="M462" t="str">
        <f t="shared" si="51"/>
        <v>Very Long</v>
      </c>
      <c r="N462" s="4" t="str">
        <f t="shared" si="52"/>
        <v>Saf</v>
      </c>
      <c r="O462" s="4" t="str">
        <f t="shared" si="53"/>
        <v>BANDHAVGARH</v>
      </c>
      <c r="P462" s="4" t="str">
        <f t="shared" si="54"/>
        <v>Saw Rare Species</v>
      </c>
      <c r="Q462" s="4">
        <f t="shared" si="55"/>
        <v>10</v>
      </c>
    </row>
    <row r="463" spans="1:17">
      <c r="A463">
        <v>1462</v>
      </c>
      <c r="B463" t="s">
        <v>100</v>
      </c>
      <c r="C463" t="s">
        <v>45</v>
      </c>
      <c r="D463" t="s">
        <v>24</v>
      </c>
      <c r="E463" s="1">
        <v>45443</v>
      </c>
      <c r="F463">
        <v>122</v>
      </c>
      <c r="G463" t="s">
        <v>38</v>
      </c>
      <c r="H463">
        <v>2.5</v>
      </c>
      <c r="I463">
        <v>262</v>
      </c>
      <c r="J463" t="s">
        <v>30</v>
      </c>
      <c r="K463" t="str">
        <f t="shared" si="49"/>
        <v>Bad</v>
      </c>
      <c r="L463">
        <f t="shared" si="50"/>
        <v>262</v>
      </c>
      <c r="M463" t="str">
        <f t="shared" si="51"/>
        <v>Long</v>
      </c>
      <c r="N463" s="4" t="str">
        <f t="shared" si="52"/>
        <v>Saf</v>
      </c>
      <c r="O463" s="4" t="str">
        <f t="shared" si="53"/>
        <v>KANHA</v>
      </c>
      <c r="P463" s="4" t="str">
        <f t="shared" si="54"/>
        <v>Good Guide Support</v>
      </c>
      <c r="Q463" s="4">
        <f t="shared" si="55"/>
        <v>11</v>
      </c>
    </row>
    <row r="464" spans="1:17">
      <c r="A464">
        <v>1463</v>
      </c>
      <c r="B464" t="s">
        <v>126</v>
      </c>
      <c r="C464" t="s">
        <v>18</v>
      </c>
      <c r="D464" t="s">
        <v>37</v>
      </c>
      <c r="E464" s="1">
        <v>45633</v>
      </c>
      <c r="F464">
        <v>93</v>
      </c>
      <c r="G464" t="s">
        <v>25</v>
      </c>
      <c r="H464">
        <v>4</v>
      </c>
      <c r="I464">
        <v>496</v>
      </c>
      <c r="J464" t="s">
        <v>54</v>
      </c>
      <c r="K464" t="str">
        <f t="shared" si="49"/>
        <v>Neutral</v>
      </c>
      <c r="L464">
        <f t="shared" si="50"/>
        <v>496</v>
      </c>
      <c r="M464" t="str">
        <f t="shared" si="51"/>
        <v>Long</v>
      </c>
      <c r="N464" s="4" t="str">
        <f t="shared" si="52"/>
        <v>Bir</v>
      </c>
      <c r="O464" s="4" t="str">
        <f t="shared" si="53"/>
        <v>SUNDARBANS</v>
      </c>
      <c r="P464" s="4" t="str">
        <f t="shared" si="54"/>
        <v>Could Be Cleaner</v>
      </c>
      <c r="Q464" s="4">
        <f t="shared" si="55"/>
        <v>9</v>
      </c>
    </row>
    <row r="465" spans="1:17">
      <c r="A465">
        <v>1464</v>
      </c>
      <c r="B465" t="s">
        <v>72</v>
      </c>
      <c r="C465" t="s">
        <v>41</v>
      </c>
      <c r="D465" t="s">
        <v>53</v>
      </c>
      <c r="E465" s="1">
        <v>45473</v>
      </c>
      <c r="F465">
        <v>226</v>
      </c>
      <c r="G465" t="s">
        <v>20</v>
      </c>
      <c r="H465">
        <v>3.1</v>
      </c>
      <c r="I465">
        <v>297</v>
      </c>
      <c r="J465" t="s">
        <v>32</v>
      </c>
      <c r="K465" t="str">
        <f t="shared" si="49"/>
        <v>Neutral</v>
      </c>
      <c r="L465">
        <f t="shared" si="50"/>
        <v>297</v>
      </c>
      <c r="M465" t="str">
        <f t="shared" si="51"/>
        <v>Very Long</v>
      </c>
      <c r="N465" s="4" t="str">
        <f t="shared" si="52"/>
        <v>Boa</v>
      </c>
      <c r="O465" s="4" t="str">
        <f t="shared" si="53"/>
        <v>JIM CORBETT</v>
      </c>
      <c r="P465" s="4" t="str">
        <f t="shared" si="54"/>
        <v>No Comments</v>
      </c>
      <c r="Q465" s="4">
        <f t="shared" si="55"/>
        <v>10</v>
      </c>
    </row>
    <row r="466" spans="1:17">
      <c r="A466">
        <v>1465</v>
      </c>
      <c r="B466" t="s">
        <v>63</v>
      </c>
      <c r="C466" t="s">
        <v>18</v>
      </c>
      <c r="D466" t="s">
        <v>48</v>
      </c>
      <c r="E466" s="1">
        <v>45328</v>
      </c>
      <c r="F466">
        <v>111</v>
      </c>
      <c r="G466" t="s">
        <v>20</v>
      </c>
      <c r="H466">
        <v>2.8</v>
      </c>
      <c r="I466">
        <v>440</v>
      </c>
      <c r="J466" t="s">
        <v>30</v>
      </c>
      <c r="K466" t="str">
        <f t="shared" si="49"/>
        <v>Bad</v>
      </c>
      <c r="L466">
        <f t="shared" si="50"/>
        <v>440</v>
      </c>
      <c r="M466" t="str">
        <f t="shared" si="51"/>
        <v>Long</v>
      </c>
      <c r="N466" s="4" t="str">
        <f t="shared" si="52"/>
        <v>Cam</v>
      </c>
      <c r="O466" s="4" t="str">
        <f t="shared" si="53"/>
        <v>SUNDARBANS</v>
      </c>
      <c r="P466" s="4" t="str">
        <f t="shared" si="54"/>
        <v>Good Guide Support</v>
      </c>
      <c r="Q466" s="4">
        <f t="shared" si="55"/>
        <v>10</v>
      </c>
    </row>
    <row r="467" spans="1:17">
      <c r="A467">
        <v>1466</v>
      </c>
      <c r="B467" t="s">
        <v>108</v>
      </c>
      <c r="C467" t="s">
        <v>18</v>
      </c>
      <c r="D467" t="s">
        <v>19</v>
      </c>
      <c r="E467" s="1">
        <v>45653</v>
      </c>
      <c r="F467">
        <v>172</v>
      </c>
      <c r="G467" t="s">
        <v>46</v>
      </c>
      <c r="H467">
        <v>3.8</v>
      </c>
      <c r="I467">
        <v>386</v>
      </c>
      <c r="J467" t="s">
        <v>32</v>
      </c>
      <c r="K467" t="str">
        <f t="shared" si="49"/>
        <v>Neutral</v>
      </c>
      <c r="L467">
        <f t="shared" si="50"/>
        <v>386</v>
      </c>
      <c r="M467" t="str">
        <f t="shared" si="51"/>
        <v>Long</v>
      </c>
      <c r="N467" s="4" t="str">
        <f t="shared" si="52"/>
        <v>Pho</v>
      </c>
      <c r="O467" s="4" t="str">
        <f t="shared" si="53"/>
        <v>SUNDARBANS</v>
      </c>
      <c r="P467" s="4" t="str">
        <f t="shared" si="54"/>
        <v>No Comments</v>
      </c>
      <c r="Q467" s="4">
        <f t="shared" si="55"/>
        <v>10</v>
      </c>
    </row>
    <row r="468" spans="1:17">
      <c r="A468">
        <v>1467</v>
      </c>
      <c r="B468" t="s">
        <v>39</v>
      </c>
      <c r="C468" t="s">
        <v>45</v>
      </c>
      <c r="D468" t="s">
        <v>53</v>
      </c>
      <c r="E468" s="1">
        <v>45294</v>
      </c>
      <c r="F468">
        <v>26</v>
      </c>
      <c r="G468" t="s">
        <v>38</v>
      </c>
      <c r="H468">
        <v>4.5</v>
      </c>
      <c r="I468">
        <v>426</v>
      </c>
      <c r="J468" t="s">
        <v>50</v>
      </c>
      <c r="K468" t="str">
        <f t="shared" si="49"/>
        <v>Good</v>
      </c>
      <c r="L468">
        <f t="shared" si="50"/>
        <v>426</v>
      </c>
      <c r="M468" t="str">
        <f t="shared" si="51"/>
        <v>Short</v>
      </c>
      <c r="N468" s="4" t="str">
        <f t="shared" si="52"/>
        <v>Boa</v>
      </c>
      <c r="O468" s="4" t="str">
        <f t="shared" si="53"/>
        <v>KANHA</v>
      </c>
      <c r="P468" s="4" t="str">
        <f t="shared" si="54"/>
        <v>Saw Rare Species</v>
      </c>
      <c r="Q468" s="4">
        <f t="shared" si="55"/>
        <v>11</v>
      </c>
    </row>
    <row r="469" spans="1:17">
      <c r="A469">
        <v>1468</v>
      </c>
      <c r="B469" t="s">
        <v>74</v>
      </c>
      <c r="C469" t="s">
        <v>52</v>
      </c>
      <c r="D469" t="s">
        <v>53</v>
      </c>
      <c r="E469" s="1">
        <v>45628</v>
      </c>
      <c r="F469">
        <v>190</v>
      </c>
      <c r="G469" t="s">
        <v>38</v>
      </c>
      <c r="H469">
        <v>2.6</v>
      </c>
      <c r="I469">
        <v>258</v>
      </c>
      <c r="J469" t="s">
        <v>66</v>
      </c>
      <c r="K469" t="str">
        <f t="shared" si="49"/>
        <v>Bad</v>
      </c>
      <c r="L469">
        <f t="shared" si="50"/>
        <v>258</v>
      </c>
      <c r="M469" t="str">
        <f t="shared" si="51"/>
        <v>Very Long</v>
      </c>
      <c r="N469" s="4" t="str">
        <f t="shared" si="52"/>
        <v>Boa</v>
      </c>
      <c r="O469" s="4" t="str">
        <f t="shared" si="53"/>
        <v>KAZIRANGA</v>
      </c>
      <c r="P469" s="4" t="str">
        <f t="shared" si="54"/>
        <v>Amazing Experience</v>
      </c>
      <c r="Q469" s="4">
        <f t="shared" si="55"/>
        <v>10</v>
      </c>
    </row>
    <row r="470" spans="1:17">
      <c r="A470">
        <v>1469</v>
      </c>
      <c r="B470" t="s">
        <v>87</v>
      </c>
      <c r="C470" t="s">
        <v>18</v>
      </c>
      <c r="D470" t="s">
        <v>37</v>
      </c>
      <c r="E470" s="1">
        <v>45487</v>
      </c>
      <c r="F470">
        <v>230</v>
      </c>
      <c r="G470" t="s">
        <v>25</v>
      </c>
      <c r="H470">
        <v>2.5</v>
      </c>
      <c r="I470">
        <v>189</v>
      </c>
      <c r="J470" t="s">
        <v>50</v>
      </c>
      <c r="K470" t="str">
        <f t="shared" si="49"/>
        <v>Bad</v>
      </c>
      <c r="L470">
        <f t="shared" si="50"/>
        <v>189</v>
      </c>
      <c r="M470" t="str">
        <f t="shared" si="51"/>
        <v>Very Long</v>
      </c>
      <c r="N470" s="4" t="str">
        <f t="shared" si="52"/>
        <v>Bir</v>
      </c>
      <c r="O470" s="4" t="str">
        <f t="shared" si="53"/>
        <v>SUNDARBANS</v>
      </c>
      <c r="P470" s="4" t="str">
        <f t="shared" si="54"/>
        <v>Saw Rare Species</v>
      </c>
      <c r="Q470" s="4">
        <f t="shared" si="55"/>
        <v>10</v>
      </c>
    </row>
    <row r="471" spans="1:17">
      <c r="A471">
        <v>1470</v>
      </c>
      <c r="B471" t="s">
        <v>69</v>
      </c>
      <c r="C471" t="s">
        <v>18</v>
      </c>
      <c r="D471" t="s">
        <v>37</v>
      </c>
      <c r="E471" s="1">
        <v>45457</v>
      </c>
      <c r="F471">
        <v>21</v>
      </c>
      <c r="G471" t="s">
        <v>20</v>
      </c>
      <c r="H471">
        <v>4.0999999999999996</v>
      </c>
      <c r="I471">
        <v>470</v>
      </c>
      <c r="J471" t="s">
        <v>68</v>
      </c>
      <c r="K471" t="str">
        <f t="shared" si="49"/>
        <v>Good</v>
      </c>
      <c r="L471">
        <f t="shared" si="50"/>
        <v>470</v>
      </c>
      <c r="M471" t="str">
        <f t="shared" si="51"/>
        <v>Short</v>
      </c>
      <c r="N471" s="4" t="str">
        <f t="shared" si="52"/>
        <v>Bir</v>
      </c>
      <c r="O471" s="4" t="str">
        <f t="shared" si="53"/>
        <v>SUNDARBANS</v>
      </c>
      <c r="P471" s="4" t="str">
        <f t="shared" si="54"/>
        <v>Average Service</v>
      </c>
      <c r="Q471" s="4">
        <f t="shared" si="55"/>
        <v>12</v>
      </c>
    </row>
    <row r="472" spans="1:17">
      <c r="A472">
        <v>1471</v>
      </c>
      <c r="B472" t="s">
        <v>101</v>
      </c>
      <c r="C472" t="s">
        <v>23</v>
      </c>
      <c r="D472" t="s">
        <v>48</v>
      </c>
      <c r="E472" s="1">
        <v>45625</v>
      </c>
      <c r="F472">
        <v>214</v>
      </c>
      <c r="G472" t="s">
        <v>25</v>
      </c>
      <c r="H472">
        <v>4.2</v>
      </c>
      <c r="I472">
        <v>237</v>
      </c>
      <c r="J472" t="s">
        <v>32</v>
      </c>
      <c r="K472" t="str">
        <f t="shared" si="49"/>
        <v>Good</v>
      </c>
      <c r="L472">
        <f t="shared" si="50"/>
        <v>237</v>
      </c>
      <c r="M472" t="str">
        <f t="shared" si="51"/>
        <v>Very Long</v>
      </c>
      <c r="N472" s="4" t="str">
        <f t="shared" si="52"/>
        <v>Cam</v>
      </c>
      <c r="O472" s="4" t="str">
        <f t="shared" si="53"/>
        <v>BANDHAVGARH</v>
      </c>
      <c r="P472" s="4" t="str">
        <f t="shared" si="54"/>
        <v>No Comments</v>
      </c>
      <c r="Q472" s="4">
        <f t="shared" si="55"/>
        <v>11</v>
      </c>
    </row>
    <row r="473" spans="1:17">
      <c r="A473">
        <v>1472</v>
      </c>
      <c r="B473" t="s">
        <v>44</v>
      </c>
      <c r="C473" t="s">
        <v>43</v>
      </c>
      <c r="D473" t="s">
        <v>37</v>
      </c>
      <c r="E473" s="1">
        <v>45435</v>
      </c>
      <c r="F473">
        <v>147</v>
      </c>
      <c r="G473" t="s">
        <v>38</v>
      </c>
      <c r="H473">
        <v>3.3</v>
      </c>
      <c r="I473">
        <v>176</v>
      </c>
      <c r="J473" t="s">
        <v>73</v>
      </c>
      <c r="K473" t="str">
        <f t="shared" si="49"/>
        <v>Neutral</v>
      </c>
      <c r="L473">
        <f t="shared" si="50"/>
        <v>176</v>
      </c>
      <c r="M473" t="str">
        <f t="shared" si="51"/>
        <v>Long</v>
      </c>
      <c r="N473" s="4" t="str">
        <f t="shared" si="52"/>
        <v>Bir</v>
      </c>
      <c r="O473" s="4" t="str">
        <f t="shared" si="53"/>
        <v>RANTHAMBORE</v>
      </c>
      <c r="P473" s="4" t="str">
        <f t="shared" si="54"/>
        <v>Peaceful Environment</v>
      </c>
      <c r="Q473" s="4">
        <f t="shared" si="55"/>
        <v>11</v>
      </c>
    </row>
    <row r="474" spans="1:17">
      <c r="A474">
        <v>1473</v>
      </c>
      <c r="B474" t="s">
        <v>131</v>
      </c>
      <c r="C474" t="s">
        <v>45</v>
      </c>
      <c r="D474" t="s">
        <v>37</v>
      </c>
      <c r="E474" s="1">
        <v>45612</v>
      </c>
      <c r="F474">
        <v>164</v>
      </c>
      <c r="G474" t="s">
        <v>38</v>
      </c>
      <c r="H474">
        <v>4.8</v>
      </c>
      <c r="I474">
        <v>470</v>
      </c>
      <c r="J474" t="s">
        <v>73</v>
      </c>
      <c r="K474" t="str">
        <f t="shared" si="49"/>
        <v>Good</v>
      </c>
      <c r="L474">
        <f t="shared" si="50"/>
        <v>470</v>
      </c>
      <c r="M474" t="str">
        <f t="shared" si="51"/>
        <v>Long</v>
      </c>
      <c r="N474" s="4" t="str">
        <f t="shared" si="52"/>
        <v>Bir</v>
      </c>
      <c r="O474" s="4" t="str">
        <f t="shared" si="53"/>
        <v>KANHA</v>
      </c>
      <c r="P474" s="4" t="str">
        <f t="shared" si="54"/>
        <v>Peaceful Environment</v>
      </c>
      <c r="Q474" s="4">
        <f t="shared" si="55"/>
        <v>11</v>
      </c>
    </row>
    <row r="475" spans="1:17">
      <c r="A475">
        <v>1474</v>
      </c>
      <c r="B475" t="s">
        <v>65</v>
      </c>
      <c r="C475" t="s">
        <v>45</v>
      </c>
      <c r="D475" t="s">
        <v>53</v>
      </c>
      <c r="E475" s="1">
        <v>45456</v>
      </c>
      <c r="F475">
        <v>240</v>
      </c>
      <c r="G475" t="s">
        <v>20</v>
      </c>
      <c r="H475">
        <v>3.8</v>
      </c>
      <c r="I475">
        <v>155</v>
      </c>
      <c r="J475" t="s">
        <v>73</v>
      </c>
      <c r="K475" t="str">
        <f t="shared" si="49"/>
        <v>Neutral</v>
      </c>
      <c r="L475">
        <f t="shared" si="50"/>
        <v>155</v>
      </c>
      <c r="M475" t="str">
        <f t="shared" si="51"/>
        <v>Very Long</v>
      </c>
      <c r="N475" s="4" t="str">
        <f t="shared" si="52"/>
        <v>Boa</v>
      </c>
      <c r="O475" s="4" t="str">
        <f t="shared" si="53"/>
        <v>KANHA</v>
      </c>
      <c r="P475" s="4" t="str">
        <f t="shared" si="54"/>
        <v>Peaceful Environment</v>
      </c>
      <c r="Q475" s="4">
        <f t="shared" si="55"/>
        <v>12</v>
      </c>
    </row>
    <row r="476" spans="1:17">
      <c r="A476">
        <v>1475</v>
      </c>
      <c r="B476" t="s">
        <v>27</v>
      </c>
      <c r="C476" t="s">
        <v>34</v>
      </c>
      <c r="D476" t="s">
        <v>24</v>
      </c>
      <c r="E476" s="1">
        <v>45377</v>
      </c>
      <c r="F476">
        <v>170</v>
      </c>
      <c r="G476" t="s">
        <v>46</v>
      </c>
      <c r="H476">
        <v>3.5</v>
      </c>
      <c r="I476">
        <v>140</v>
      </c>
      <c r="J476" t="s">
        <v>50</v>
      </c>
      <c r="K476" t="str">
        <f t="shared" si="49"/>
        <v>Neutral</v>
      </c>
      <c r="L476">
        <f t="shared" si="50"/>
        <v>140</v>
      </c>
      <c r="M476" t="str">
        <f t="shared" si="51"/>
        <v>Long</v>
      </c>
      <c r="N476" s="4" t="str">
        <f t="shared" si="52"/>
        <v>Saf</v>
      </c>
      <c r="O476" s="4" t="str">
        <f t="shared" si="53"/>
        <v>GIR</v>
      </c>
      <c r="P476" s="4" t="str">
        <f t="shared" si="54"/>
        <v>Saw Rare Species</v>
      </c>
      <c r="Q476" s="4">
        <f t="shared" si="55"/>
        <v>10</v>
      </c>
    </row>
    <row r="477" spans="1:17">
      <c r="A477">
        <v>1476</v>
      </c>
      <c r="B477" t="s">
        <v>136</v>
      </c>
      <c r="C477" t="s">
        <v>28</v>
      </c>
      <c r="D477" t="s">
        <v>53</v>
      </c>
      <c r="E477" s="1">
        <v>45339</v>
      </c>
      <c r="F477">
        <v>223</v>
      </c>
      <c r="G477" t="s">
        <v>25</v>
      </c>
      <c r="H477">
        <v>2.9</v>
      </c>
      <c r="I477">
        <v>376</v>
      </c>
      <c r="J477" t="s">
        <v>66</v>
      </c>
      <c r="K477" t="str">
        <f t="shared" si="49"/>
        <v>Bad</v>
      </c>
      <c r="L477">
        <f t="shared" si="50"/>
        <v>376</v>
      </c>
      <c r="M477" t="str">
        <f t="shared" si="51"/>
        <v>Very Long</v>
      </c>
      <c r="N477" s="4" t="str">
        <f t="shared" si="52"/>
        <v>Boa</v>
      </c>
      <c r="O477" s="4" t="str">
        <f t="shared" si="53"/>
        <v>PERIYAR</v>
      </c>
      <c r="P477" s="4" t="str">
        <f t="shared" si="54"/>
        <v>Amazing Experience</v>
      </c>
      <c r="Q477" s="4">
        <f t="shared" si="55"/>
        <v>11</v>
      </c>
    </row>
    <row r="478" spans="1:17">
      <c r="A478">
        <v>1477</v>
      </c>
      <c r="B478" t="s">
        <v>116</v>
      </c>
      <c r="C478" t="s">
        <v>28</v>
      </c>
      <c r="D478" t="s">
        <v>29</v>
      </c>
      <c r="E478" s="1">
        <v>45310</v>
      </c>
      <c r="F478">
        <v>76</v>
      </c>
      <c r="G478" t="s">
        <v>25</v>
      </c>
      <c r="H478">
        <v>4.7</v>
      </c>
      <c r="I478">
        <v>218</v>
      </c>
      <c r="J478" t="s">
        <v>66</v>
      </c>
      <c r="K478" t="str">
        <f t="shared" si="49"/>
        <v>Good</v>
      </c>
      <c r="L478">
        <f t="shared" si="50"/>
        <v>218</v>
      </c>
      <c r="M478" t="str">
        <f t="shared" si="51"/>
        <v>Medium</v>
      </c>
      <c r="N478" s="4" t="str">
        <f t="shared" si="52"/>
        <v>Hik</v>
      </c>
      <c r="O478" s="4" t="str">
        <f t="shared" si="53"/>
        <v>PERIYAR</v>
      </c>
      <c r="P478" s="4" t="str">
        <f t="shared" si="54"/>
        <v>Amazing Experience</v>
      </c>
      <c r="Q478" s="4">
        <f t="shared" si="55"/>
        <v>11</v>
      </c>
    </row>
    <row r="479" spans="1:17">
      <c r="A479">
        <v>1478</v>
      </c>
      <c r="B479" t="s">
        <v>55</v>
      </c>
      <c r="C479" t="s">
        <v>23</v>
      </c>
      <c r="D479" t="s">
        <v>24</v>
      </c>
      <c r="E479" s="1">
        <v>45649</v>
      </c>
      <c r="F479">
        <v>238</v>
      </c>
      <c r="G479" t="s">
        <v>46</v>
      </c>
      <c r="H479">
        <v>3.5</v>
      </c>
      <c r="I479">
        <v>196</v>
      </c>
      <c r="J479" t="s">
        <v>30</v>
      </c>
      <c r="K479" t="str">
        <f t="shared" si="49"/>
        <v>Neutral</v>
      </c>
      <c r="L479">
        <f t="shared" si="50"/>
        <v>196</v>
      </c>
      <c r="M479" t="str">
        <f t="shared" si="51"/>
        <v>Very Long</v>
      </c>
      <c r="N479" s="4" t="str">
        <f t="shared" si="52"/>
        <v>Saf</v>
      </c>
      <c r="O479" s="4" t="str">
        <f t="shared" si="53"/>
        <v>BANDHAVGARH</v>
      </c>
      <c r="P479" s="4" t="str">
        <f t="shared" si="54"/>
        <v>Good Guide Support</v>
      </c>
      <c r="Q479" s="4">
        <f t="shared" si="55"/>
        <v>11</v>
      </c>
    </row>
    <row r="480" spans="1:17">
      <c r="A480">
        <v>1479</v>
      </c>
      <c r="B480" t="s">
        <v>138</v>
      </c>
      <c r="C480" t="s">
        <v>52</v>
      </c>
      <c r="D480" t="s">
        <v>53</v>
      </c>
      <c r="E480" s="1">
        <v>45539</v>
      </c>
      <c r="F480">
        <v>154</v>
      </c>
      <c r="G480" t="s">
        <v>25</v>
      </c>
      <c r="H480">
        <v>3.3</v>
      </c>
      <c r="I480">
        <v>384</v>
      </c>
      <c r="J480" t="s">
        <v>68</v>
      </c>
      <c r="K480" t="str">
        <f t="shared" si="49"/>
        <v>Neutral</v>
      </c>
      <c r="L480">
        <f t="shared" si="50"/>
        <v>384</v>
      </c>
      <c r="M480" t="str">
        <f t="shared" si="51"/>
        <v>Long</v>
      </c>
      <c r="N480" s="4" t="str">
        <f t="shared" si="52"/>
        <v>Boa</v>
      </c>
      <c r="O480" s="4" t="str">
        <f t="shared" si="53"/>
        <v>KAZIRANGA</v>
      </c>
      <c r="P480" s="4" t="str">
        <f t="shared" si="54"/>
        <v>Average Service</v>
      </c>
      <c r="Q480" s="4">
        <f t="shared" si="55"/>
        <v>11</v>
      </c>
    </row>
    <row r="481" spans="1:17">
      <c r="A481">
        <v>1480</v>
      </c>
      <c r="B481" t="s">
        <v>132</v>
      </c>
      <c r="C481" t="s">
        <v>23</v>
      </c>
      <c r="D481" t="s">
        <v>53</v>
      </c>
      <c r="E481" s="1">
        <v>45391</v>
      </c>
      <c r="F481">
        <v>194</v>
      </c>
      <c r="G481" t="s">
        <v>46</v>
      </c>
      <c r="H481">
        <v>2.5</v>
      </c>
      <c r="I481">
        <v>170</v>
      </c>
      <c r="J481" t="s">
        <v>73</v>
      </c>
      <c r="K481" t="str">
        <f t="shared" si="49"/>
        <v>Bad</v>
      </c>
      <c r="L481">
        <f t="shared" si="50"/>
        <v>170</v>
      </c>
      <c r="M481" t="str">
        <f t="shared" si="51"/>
        <v>Very Long</v>
      </c>
      <c r="N481" s="4" t="str">
        <f t="shared" si="52"/>
        <v>Boa</v>
      </c>
      <c r="O481" s="4" t="str">
        <f t="shared" si="53"/>
        <v>BANDHAVGARH</v>
      </c>
      <c r="P481" s="4" t="str">
        <f t="shared" si="54"/>
        <v>Peaceful Environment</v>
      </c>
      <c r="Q481" s="4">
        <f t="shared" si="55"/>
        <v>12</v>
      </c>
    </row>
    <row r="482" spans="1:17">
      <c r="A482">
        <v>1481</v>
      </c>
      <c r="B482" t="s">
        <v>107</v>
      </c>
      <c r="C482" t="s">
        <v>34</v>
      </c>
      <c r="D482" t="s">
        <v>29</v>
      </c>
      <c r="E482" s="1">
        <v>45463</v>
      </c>
      <c r="F482">
        <v>145</v>
      </c>
      <c r="G482" t="s">
        <v>38</v>
      </c>
      <c r="H482">
        <v>2.6</v>
      </c>
      <c r="I482">
        <v>321</v>
      </c>
      <c r="J482" t="s">
        <v>26</v>
      </c>
      <c r="K482" t="str">
        <f t="shared" si="49"/>
        <v>Bad</v>
      </c>
      <c r="L482">
        <f t="shared" si="50"/>
        <v>321</v>
      </c>
      <c r="M482" t="str">
        <f t="shared" si="51"/>
        <v>Long</v>
      </c>
      <c r="N482" s="4" t="str">
        <f t="shared" si="52"/>
        <v>Hik</v>
      </c>
      <c r="O482" s="4" t="str">
        <f t="shared" si="53"/>
        <v>GIR</v>
      </c>
      <c r="P482" s="4" t="str">
        <f t="shared" si="54"/>
        <v>Excellent Wildlife View</v>
      </c>
      <c r="Q482" s="4">
        <f t="shared" si="55"/>
        <v>11</v>
      </c>
    </row>
    <row r="483" spans="1:17">
      <c r="A483">
        <v>1482</v>
      </c>
      <c r="B483" t="s">
        <v>49</v>
      </c>
      <c r="C483" t="s">
        <v>28</v>
      </c>
      <c r="D483" t="s">
        <v>19</v>
      </c>
      <c r="E483" s="1">
        <v>45407</v>
      </c>
      <c r="F483">
        <v>225</v>
      </c>
      <c r="G483" t="s">
        <v>25</v>
      </c>
      <c r="H483">
        <v>4.3</v>
      </c>
      <c r="I483">
        <v>394</v>
      </c>
      <c r="J483" t="s">
        <v>26</v>
      </c>
      <c r="K483" t="str">
        <f t="shared" si="49"/>
        <v>Good</v>
      </c>
      <c r="L483">
        <f t="shared" si="50"/>
        <v>394</v>
      </c>
      <c r="M483" t="str">
        <f t="shared" si="51"/>
        <v>Very Long</v>
      </c>
      <c r="N483" s="4" t="str">
        <f t="shared" si="52"/>
        <v>Pho</v>
      </c>
      <c r="O483" s="4" t="str">
        <f t="shared" si="53"/>
        <v>PERIYAR</v>
      </c>
      <c r="P483" s="4" t="str">
        <f t="shared" si="54"/>
        <v>Excellent Wildlife View</v>
      </c>
      <c r="Q483" s="4">
        <f t="shared" si="55"/>
        <v>11</v>
      </c>
    </row>
    <row r="484" spans="1:17">
      <c r="A484">
        <v>1483</v>
      </c>
      <c r="B484" t="s">
        <v>118</v>
      </c>
      <c r="C484" t="s">
        <v>23</v>
      </c>
      <c r="D484" t="s">
        <v>53</v>
      </c>
      <c r="E484" s="1">
        <v>45380</v>
      </c>
      <c r="F484">
        <v>29</v>
      </c>
      <c r="G484" t="s">
        <v>38</v>
      </c>
      <c r="H484">
        <v>2.6</v>
      </c>
      <c r="I484">
        <v>191</v>
      </c>
      <c r="J484" t="s">
        <v>54</v>
      </c>
      <c r="K484" t="str">
        <f t="shared" si="49"/>
        <v>Bad</v>
      </c>
      <c r="L484">
        <f t="shared" si="50"/>
        <v>191</v>
      </c>
      <c r="M484" t="str">
        <f t="shared" si="51"/>
        <v>Short</v>
      </c>
      <c r="N484" s="4" t="str">
        <f t="shared" si="52"/>
        <v>Boa</v>
      </c>
      <c r="O484" s="4" t="str">
        <f t="shared" si="53"/>
        <v>BANDHAVGARH</v>
      </c>
      <c r="P484" s="4" t="str">
        <f t="shared" si="54"/>
        <v>Could Be Cleaner</v>
      </c>
      <c r="Q484" s="4">
        <f t="shared" si="55"/>
        <v>12</v>
      </c>
    </row>
    <row r="485" spans="1:17">
      <c r="A485">
        <v>1484</v>
      </c>
      <c r="B485" t="s">
        <v>36</v>
      </c>
      <c r="C485" t="s">
        <v>23</v>
      </c>
      <c r="D485" t="s">
        <v>19</v>
      </c>
      <c r="E485" s="1">
        <v>45608</v>
      </c>
      <c r="F485">
        <v>146</v>
      </c>
      <c r="G485" t="s">
        <v>25</v>
      </c>
      <c r="H485">
        <v>3.6</v>
      </c>
      <c r="I485">
        <v>420</v>
      </c>
      <c r="J485" t="s">
        <v>35</v>
      </c>
      <c r="K485" t="str">
        <f t="shared" si="49"/>
        <v>Neutral</v>
      </c>
      <c r="L485">
        <f t="shared" si="50"/>
        <v>420</v>
      </c>
      <c r="M485" t="str">
        <f t="shared" si="51"/>
        <v>Long</v>
      </c>
      <c r="N485" s="4" t="str">
        <f t="shared" si="52"/>
        <v>Pho</v>
      </c>
      <c r="O485" s="4" t="str">
        <f t="shared" si="53"/>
        <v>BANDHAVGARH</v>
      </c>
      <c r="P485" s="4" t="str">
        <f t="shared" si="54"/>
        <v>Very Enjoyable</v>
      </c>
      <c r="Q485" s="4">
        <f t="shared" si="55"/>
        <v>12</v>
      </c>
    </row>
    <row r="486" spans="1:17">
      <c r="A486">
        <v>1485</v>
      </c>
      <c r="B486" t="s">
        <v>59</v>
      </c>
      <c r="C486" t="s">
        <v>34</v>
      </c>
      <c r="D486" t="s">
        <v>29</v>
      </c>
      <c r="E486" s="1">
        <v>45409</v>
      </c>
      <c r="F486">
        <v>162</v>
      </c>
      <c r="G486" t="s">
        <v>46</v>
      </c>
      <c r="H486">
        <v>4</v>
      </c>
      <c r="I486">
        <v>281</v>
      </c>
      <c r="J486" t="s">
        <v>26</v>
      </c>
      <c r="K486" t="str">
        <f t="shared" si="49"/>
        <v>Neutral</v>
      </c>
      <c r="L486">
        <f t="shared" si="50"/>
        <v>281</v>
      </c>
      <c r="M486" t="str">
        <f t="shared" si="51"/>
        <v>Long</v>
      </c>
      <c r="N486" s="4" t="str">
        <f t="shared" si="52"/>
        <v>Hik</v>
      </c>
      <c r="O486" s="4" t="str">
        <f t="shared" si="53"/>
        <v>GIR</v>
      </c>
      <c r="P486" s="4" t="str">
        <f t="shared" si="54"/>
        <v>Excellent Wildlife View</v>
      </c>
      <c r="Q486" s="4">
        <f t="shared" si="55"/>
        <v>11</v>
      </c>
    </row>
    <row r="487" spans="1:17">
      <c r="A487">
        <v>1486</v>
      </c>
      <c r="B487" t="s">
        <v>42</v>
      </c>
      <c r="C487" t="s">
        <v>52</v>
      </c>
      <c r="D487" t="s">
        <v>37</v>
      </c>
      <c r="E487" s="1">
        <v>45425</v>
      </c>
      <c r="F487">
        <v>223</v>
      </c>
      <c r="G487" t="s">
        <v>20</v>
      </c>
      <c r="H487">
        <v>3.1</v>
      </c>
      <c r="I487">
        <v>388</v>
      </c>
      <c r="J487" t="s">
        <v>21</v>
      </c>
      <c r="K487" t="str">
        <f t="shared" si="49"/>
        <v>Neutral</v>
      </c>
      <c r="L487">
        <f t="shared" si="50"/>
        <v>388</v>
      </c>
      <c r="M487" t="str">
        <f t="shared" si="51"/>
        <v>Very Long</v>
      </c>
      <c r="N487" s="4" t="str">
        <f t="shared" si="52"/>
        <v>Bir</v>
      </c>
      <c r="O487" s="4" t="str">
        <f t="shared" si="53"/>
        <v>KAZIRANGA</v>
      </c>
      <c r="P487" s="4" t="str">
        <f t="shared" si="54"/>
        <v>Too Crowded</v>
      </c>
      <c r="Q487" s="4">
        <f t="shared" si="55"/>
        <v>9</v>
      </c>
    </row>
    <row r="488" spans="1:17">
      <c r="A488">
        <v>1487</v>
      </c>
      <c r="B488" t="s">
        <v>89</v>
      </c>
      <c r="C488" t="s">
        <v>52</v>
      </c>
      <c r="D488" t="s">
        <v>48</v>
      </c>
      <c r="E488" s="1">
        <v>45382</v>
      </c>
      <c r="F488">
        <v>129</v>
      </c>
      <c r="G488" t="s">
        <v>46</v>
      </c>
      <c r="H488">
        <v>4.4000000000000004</v>
      </c>
      <c r="I488">
        <v>411</v>
      </c>
      <c r="J488" t="s">
        <v>21</v>
      </c>
      <c r="K488" t="str">
        <f t="shared" si="49"/>
        <v>Good</v>
      </c>
      <c r="L488">
        <f t="shared" si="50"/>
        <v>411</v>
      </c>
      <c r="M488" t="str">
        <f t="shared" si="51"/>
        <v>Long</v>
      </c>
      <c r="N488" s="4" t="str">
        <f t="shared" si="52"/>
        <v>Cam</v>
      </c>
      <c r="O488" s="4" t="str">
        <f t="shared" si="53"/>
        <v>KAZIRANGA</v>
      </c>
      <c r="P488" s="4" t="str">
        <f t="shared" si="54"/>
        <v>Too Crowded</v>
      </c>
      <c r="Q488" s="4">
        <f t="shared" si="55"/>
        <v>11</v>
      </c>
    </row>
    <row r="489" spans="1:17">
      <c r="A489">
        <v>1488</v>
      </c>
      <c r="B489" t="s">
        <v>86</v>
      </c>
      <c r="C489" t="s">
        <v>43</v>
      </c>
      <c r="D489" t="s">
        <v>29</v>
      </c>
      <c r="E489" s="1">
        <v>45414</v>
      </c>
      <c r="F489">
        <v>149</v>
      </c>
      <c r="G489" t="s">
        <v>25</v>
      </c>
      <c r="H489">
        <v>3.7</v>
      </c>
      <c r="I489">
        <v>394</v>
      </c>
      <c r="J489" t="s">
        <v>54</v>
      </c>
      <c r="K489" t="str">
        <f t="shared" si="49"/>
        <v>Neutral</v>
      </c>
      <c r="L489">
        <f t="shared" si="50"/>
        <v>394</v>
      </c>
      <c r="M489" t="str">
        <f t="shared" si="51"/>
        <v>Long</v>
      </c>
      <c r="N489" s="4" t="str">
        <f t="shared" si="52"/>
        <v>Hik</v>
      </c>
      <c r="O489" s="4" t="str">
        <f t="shared" si="53"/>
        <v>RANTHAMBORE</v>
      </c>
      <c r="P489" s="4" t="str">
        <f t="shared" si="54"/>
        <v>Could Be Cleaner</v>
      </c>
      <c r="Q489" s="4">
        <f t="shared" si="55"/>
        <v>10</v>
      </c>
    </row>
    <row r="490" spans="1:17">
      <c r="A490">
        <v>1489</v>
      </c>
      <c r="B490" t="s">
        <v>132</v>
      </c>
      <c r="C490" t="s">
        <v>28</v>
      </c>
      <c r="D490" t="s">
        <v>19</v>
      </c>
      <c r="E490" s="1">
        <v>45617</v>
      </c>
      <c r="F490">
        <v>57</v>
      </c>
      <c r="G490" t="s">
        <v>20</v>
      </c>
      <c r="H490">
        <v>4</v>
      </c>
      <c r="I490">
        <v>129</v>
      </c>
      <c r="J490" t="s">
        <v>26</v>
      </c>
      <c r="K490" t="str">
        <f t="shared" si="49"/>
        <v>Neutral</v>
      </c>
      <c r="L490">
        <f t="shared" si="50"/>
        <v>129</v>
      </c>
      <c r="M490" t="str">
        <f t="shared" si="51"/>
        <v>Medium</v>
      </c>
      <c r="N490" s="4" t="str">
        <f t="shared" si="52"/>
        <v>Pho</v>
      </c>
      <c r="O490" s="4" t="str">
        <f t="shared" si="53"/>
        <v>PERIYAR</v>
      </c>
      <c r="P490" s="4" t="str">
        <f t="shared" si="54"/>
        <v>Excellent Wildlife View</v>
      </c>
      <c r="Q490" s="4">
        <f t="shared" si="55"/>
        <v>12</v>
      </c>
    </row>
    <row r="491" spans="1:17">
      <c r="A491">
        <v>1490</v>
      </c>
      <c r="B491" t="s">
        <v>49</v>
      </c>
      <c r="C491" t="s">
        <v>45</v>
      </c>
      <c r="D491" t="s">
        <v>24</v>
      </c>
      <c r="E491" s="1">
        <v>45617</v>
      </c>
      <c r="F491">
        <v>126</v>
      </c>
      <c r="G491" t="s">
        <v>46</v>
      </c>
      <c r="H491">
        <v>3.9</v>
      </c>
      <c r="I491">
        <v>292</v>
      </c>
      <c r="J491" t="s">
        <v>50</v>
      </c>
      <c r="K491" t="str">
        <f t="shared" si="49"/>
        <v>Neutral</v>
      </c>
      <c r="L491">
        <f t="shared" si="50"/>
        <v>292</v>
      </c>
      <c r="M491" t="str">
        <f t="shared" si="51"/>
        <v>Long</v>
      </c>
      <c r="N491" s="4" t="str">
        <f t="shared" si="52"/>
        <v>Saf</v>
      </c>
      <c r="O491" s="4" t="str">
        <f t="shared" si="53"/>
        <v>KANHA</v>
      </c>
      <c r="P491" s="4" t="str">
        <f t="shared" si="54"/>
        <v>Saw Rare Species</v>
      </c>
      <c r="Q491" s="4">
        <f t="shared" si="55"/>
        <v>11</v>
      </c>
    </row>
    <row r="492" spans="1:17">
      <c r="A492">
        <v>1491</v>
      </c>
      <c r="B492" t="s">
        <v>101</v>
      </c>
      <c r="C492" t="s">
        <v>34</v>
      </c>
      <c r="D492" t="s">
        <v>29</v>
      </c>
      <c r="E492" s="1">
        <v>45500</v>
      </c>
      <c r="F492">
        <v>48</v>
      </c>
      <c r="G492" t="s">
        <v>25</v>
      </c>
      <c r="H492">
        <v>4.8</v>
      </c>
      <c r="I492">
        <v>109</v>
      </c>
      <c r="J492" t="s">
        <v>66</v>
      </c>
      <c r="K492" t="str">
        <f t="shared" si="49"/>
        <v>Good</v>
      </c>
      <c r="L492">
        <f t="shared" si="50"/>
        <v>109</v>
      </c>
      <c r="M492" t="str">
        <f t="shared" si="51"/>
        <v>Medium</v>
      </c>
      <c r="N492" s="4" t="str">
        <f t="shared" si="52"/>
        <v>Hik</v>
      </c>
      <c r="O492" s="4" t="str">
        <f t="shared" si="53"/>
        <v>GIR</v>
      </c>
      <c r="P492" s="4" t="str">
        <f t="shared" si="54"/>
        <v>Amazing Experience</v>
      </c>
      <c r="Q492" s="4">
        <f t="shared" si="55"/>
        <v>11</v>
      </c>
    </row>
    <row r="493" spans="1:17">
      <c r="A493">
        <v>1492</v>
      </c>
      <c r="B493" t="s">
        <v>106</v>
      </c>
      <c r="C493" t="s">
        <v>52</v>
      </c>
      <c r="D493" t="s">
        <v>24</v>
      </c>
      <c r="E493" s="1">
        <v>45403</v>
      </c>
      <c r="F493">
        <v>141</v>
      </c>
      <c r="G493" t="s">
        <v>20</v>
      </c>
      <c r="H493">
        <v>3</v>
      </c>
      <c r="I493">
        <v>225</v>
      </c>
      <c r="J493" t="s">
        <v>68</v>
      </c>
      <c r="K493" t="str">
        <f t="shared" si="49"/>
        <v>Neutral</v>
      </c>
      <c r="L493">
        <f t="shared" si="50"/>
        <v>225</v>
      </c>
      <c r="M493" t="str">
        <f t="shared" si="51"/>
        <v>Long</v>
      </c>
      <c r="N493" s="4" t="str">
        <f t="shared" si="52"/>
        <v>Saf</v>
      </c>
      <c r="O493" s="4" t="str">
        <f t="shared" si="53"/>
        <v>KAZIRANGA</v>
      </c>
      <c r="P493" s="4" t="str">
        <f t="shared" si="54"/>
        <v>Average Service</v>
      </c>
      <c r="Q493" s="4">
        <f t="shared" si="55"/>
        <v>12</v>
      </c>
    </row>
    <row r="494" spans="1:17">
      <c r="A494">
        <v>1493</v>
      </c>
      <c r="B494" t="s">
        <v>93</v>
      </c>
      <c r="C494" t="s">
        <v>28</v>
      </c>
      <c r="D494" t="s">
        <v>37</v>
      </c>
      <c r="E494" s="1">
        <v>45360</v>
      </c>
      <c r="F494">
        <v>137</v>
      </c>
      <c r="G494" t="s">
        <v>25</v>
      </c>
      <c r="H494">
        <v>2.9</v>
      </c>
      <c r="I494">
        <v>374</v>
      </c>
      <c r="J494" t="s">
        <v>26</v>
      </c>
      <c r="K494" t="str">
        <f t="shared" si="49"/>
        <v>Bad</v>
      </c>
      <c r="L494">
        <f t="shared" si="50"/>
        <v>374</v>
      </c>
      <c r="M494" t="str">
        <f t="shared" si="51"/>
        <v>Long</v>
      </c>
      <c r="N494" s="4" t="str">
        <f t="shared" si="52"/>
        <v>Bir</v>
      </c>
      <c r="O494" s="4" t="str">
        <f t="shared" si="53"/>
        <v>PERIYAR</v>
      </c>
      <c r="P494" s="4" t="str">
        <f t="shared" si="54"/>
        <v>Excellent Wildlife View</v>
      </c>
      <c r="Q494" s="4">
        <f t="shared" si="55"/>
        <v>11</v>
      </c>
    </row>
    <row r="495" spans="1:17">
      <c r="A495">
        <v>1494</v>
      </c>
      <c r="B495" t="s">
        <v>49</v>
      </c>
      <c r="C495" t="s">
        <v>41</v>
      </c>
      <c r="D495" t="s">
        <v>37</v>
      </c>
      <c r="E495" s="1">
        <v>45397</v>
      </c>
      <c r="F495">
        <v>94</v>
      </c>
      <c r="G495" t="s">
        <v>46</v>
      </c>
      <c r="H495">
        <v>4.7</v>
      </c>
      <c r="I495">
        <v>284</v>
      </c>
      <c r="J495" t="s">
        <v>73</v>
      </c>
      <c r="K495" t="str">
        <f t="shared" si="49"/>
        <v>Good</v>
      </c>
      <c r="L495">
        <f t="shared" si="50"/>
        <v>284</v>
      </c>
      <c r="M495" t="str">
        <f t="shared" si="51"/>
        <v>Long</v>
      </c>
      <c r="N495" s="4" t="str">
        <f t="shared" si="52"/>
        <v>Bir</v>
      </c>
      <c r="O495" s="4" t="str">
        <f t="shared" si="53"/>
        <v>JIM CORBETT</v>
      </c>
      <c r="P495" s="4" t="str">
        <f t="shared" si="54"/>
        <v>Peaceful Environment</v>
      </c>
      <c r="Q495" s="4">
        <f t="shared" si="55"/>
        <v>11</v>
      </c>
    </row>
    <row r="496" spans="1:17">
      <c r="A496">
        <v>1495</v>
      </c>
      <c r="B496" t="s">
        <v>51</v>
      </c>
      <c r="C496" t="s">
        <v>52</v>
      </c>
      <c r="D496" t="s">
        <v>53</v>
      </c>
      <c r="E496" s="1">
        <v>45490</v>
      </c>
      <c r="F496">
        <v>52</v>
      </c>
      <c r="G496" t="s">
        <v>46</v>
      </c>
      <c r="H496">
        <v>4.5999999999999996</v>
      </c>
      <c r="I496">
        <v>474</v>
      </c>
      <c r="J496" t="s">
        <v>54</v>
      </c>
      <c r="K496" t="str">
        <f t="shared" si="49"/>
        <v>Good</v>
      </c>
      <c r="L496">
        <f t="shared" si="50"/>
        <v>474</v>
      </c>
      <c r="M496" t="str">
        <f t="shared" si="51"/>
        <v>Medium</v>
      </c>
      <c r="N496" s="4" t="str">
        <f t="shared" si="52"/>
        <v>Boa</v>
      </c>
      <c r="O496" s="4" t="str">
        <f t="shared" si="53"/>
        <v>KAZIRANGA</v>
      </c>
      <c r="P496" s="4" t="str">
        <f t="shared" si="54"/>
        <v>Could Be Cleaner</v>
      </c>
      <c r="Q496" s="4">
        <f t="shared" si="55"/>
        <v>11</v>
      </c>
    </row>
    <row r="497" spans="1:17">
      <c r="A497">
        <v>1496</v>
      </c>
      <c r="B497" t="s">
        <v>63</v>
      </c>
      <c r="C497" t="s">
        <v>18</v>
      </c>
      <c r="D497" t="s">
        <v>37</v>
      </c>
      <c r="E497" s="1">
        <v>45296</v>
      </c>
      <c r="F497">
        <v>109</v>
      </c>
      <c r="G497" t="s">
        <v>25</v>
      </c>
      <c r="H497">
        <v>4.5999999999999996</v>
      </c>
      <c r="I497">
        <v>386</v>
      </c>
      <c r="J497" t="s">
        <v>21</v>
      </c>
      <c r="K497" t="str">
        <f t="shared" si="49"/>
        <v>Good</v>
      </c>
      <c r="L497">
        <f t="shared" si="50"/>
        <v>386</v>
      </c>
      <c r="M497" t="str">
        <f t="shared" si="51"/>
        <v>Long</v>
      </c>
      <c r="N497" s="4" t="str">
        <f t="shared" si="52"/>
        <v>Bir</v>
      </c>
      <c r="O497" s="4" t="str">
        <f t="shared" si="53"/>
        <v>SUNDARBANS</v>
      </c>
      <c r="P497" s="4" t="str">
        <f t="shared" si="54"/>
        <v>Too Crowded</v>
      </c>
      <c r="Q497" s="4">
        <f t="shared" si="55"/>
        <v>10</v>
      </c>
    </row>
    <row r="498" spans="1:17">
      <c r="A498">
        <v>1497</v>
      </c>
      <c r="B498" t="s">
        <v>56</v>
      </c>
      <c r="C498" t="s">
        <v>41</v>
      </c>
      <c r="D498" t="s">
        <v>19</v>
      </c>
      <c r="E498" s="1">
        <v>45637</v>
      </c>
      <c r="F498">
        <v>72</v>
      </c>
      <c r="G498" t="s">
        <v>25</v>
      </c>
      <c r="H498">
        <v>2.5</v>
      </c>
      <c r="I498">
        <v>131</v>
      </c>
      <c r="J498" t="s">
        <v>21</v>
      </c>
      <c r="K498" t="str">
        <f t="shared" si="49"/>
        <v>Bad</v>
      </c>
      <c r="L498">
        <f t="shared" si="50"/>
        <v>131</v>
      </c>
      <c r="M498" t="str">
        <f t="shared" si="51"/>
        <v>Medium</v>
      </c>
      <c r="N498" s="4" t="str">
        <f t="shared" si="52"/>
        <v>Pho</v>
      </c>
      <c r="O498" s="4" t="str">
        <f t="shared" si="53"/>
        <v>JIM CORBETT</v>
      </c>
      <c r="P498" s="4" t="str">
        <f t="shared" si="54"/>
        <v>Too Crowded</v>
      </c>
      <c r="Q498" s="4">
        <f t="shared" si="55"/>
        <v>12</v>
      </c>
    </row>
    <row r="499" spans="1:17">
      <c r="A499">
        <v>1498</v>
      </c>
      <c r="B499" t="s">
        <v>137</v>
      </c>
      <c r="C499" t="s">
        <v>18</v>
      </c>
      <c r="D499" t="s">
        <v>53</v>
      </c>
      <c r="E499" s="1">
        <v>45468</v>
      </c>
      <c r="F499">
        <v>232</v>
      </c>
      <c r="G499" t="s">
        <v>20</v>
      </c>
      <c r="H499">
        <v>2.9</v>
      </c>
      <c r="I499">
        <v>365</v>
      </c>
      <c r="J499" t="s">
        <v>35</v>
      </c>
      <c r="K499" t="str">
        <f t="shared" si="49"/>
        <v>Bad</v>
      </c>
      <c r="L499">
        <f t="shared" si="50"/>
        <v>365</v>
      </c>
      <c r="M499" t="str">
        <f t="shared" si="51"/>
        <v>Very Long</v>
      </c>
      <c r="N499" s="4" t="str">
        <f t="shared" si="52"/>
        <v>Boa</v>
      </c>
      <c r="O499" s="4" t="str">
        <f t="shared" si="53"/>
        <v>SUNDARBANS</v>
      </c>
      <c r="P499" s="4" t="str">
        <f t="shared" si="54"/>
        <v>Very Enjoyable</v>
      </c>
      <c r="Q499" s="4">
        <f t="shared" si="55"/>
        <v>11</v>
      </c>
    </row>
    <row r="500" spans="1:17">
      <c r="A500">
        <v>1499</v>
      </c>
      <c r="B500" t="s">
        <v>61</v>
      </c>
      <c r="C500" t="s">
        <v>43</v>
      </c>
      <c r="D500" t="s">
        <v>29</v>
      </c>
      <c r="E500" s="1">
        <v>45351</v>
      </c>
      <c r="F500">
        <v>126</v>
      </c>
      <c r="G500" t="s">
        <v>20</v>
      </c>
      <c r="H500">
        <v>4.9000000000000004</v>
      </c>
      <c r="I500">
        <v>380</v>
      </c>
      <c r="J500" t="s">
        <v>54</v>
      </c>
      <c r="K500" t="str">
        <f t="shared" si="49"/>
        <v>Good</v>
      </c>
      <c r="L500">
        <f t="shared" si="50"/>
        <v>380</v>
      </c>
      <c r="M500" t="str">
        <f t="shared" si="51"/>
        <v>Long</v>
      </c>
      <c r="N500" s="4" t="str">
        <f t="shared" si="52"/>
        <v>Hik</v>
      </c>
      <c r="O500" s="4" t="str">
        <f t="shared" si="53"/>
        <v>RANTHAMBORE</v>
      </c>
      <c r="P500" s="4" t="str">
        <f t="shared" si="54"/>
        <v>Could Be Cleaner</v>
      </c>
      <c r="Q500" s="4">
        <f t="shared" si="55"/>
        <v>11</v>
      </c>
    </row>
    <row r="501" spans="1:17">
      <c r="A501">
        <v>1500</v>
      </c>
      <c r="B501" t="s">
        <v>114</v>
      </c>
      <c r="C501" t="s">
        <v>43</v>
      </c>
      <c r="D501" t="s">
        <v>29</v>
      </c>
      <c r="E501" s="1">
        <v>45496</v>
      </c>
      <c r="F501">
        <v>62</v>
      </c>
      <c r="G501" t="s">
        <v>25</v>
      </c>
      <c r="H501">
        <v>2.6</v>
      </c>
      <c r="I501">
        <v>499</v>
      </c>
      <c r="J501" t="s">
        <v>21</v>
      </c>
      <c r="K501" t="str">
        <f t="shared" si="49"/>
        <v>Bad</v>
      </c>
      <c r="L501">
        <f t="shared" si="50"/>
        <v>499</v>
      </c>
      <c r="M501" t="str">
        <f t="shared" si="51"/>
        <v>Medium</v>
      </c>
      <c r="N501" s="4" t="str">
        <f t="shared" si="52"/>
        <v>Hik</v>
      </c>
      <c r="O501" s="4" t="str">
        <f t="shared" si="53"/>
        <v>RANTHAMBORE</v>
      </c>
      <c r="P501" s="4" t="str">
        <f t="shared" si="54"/>
        <v>Too Crowded</v>
      </c>
      <c r="Q501" s="4">
        <f t="shared" si="55"/>
        <v>11</v>
      </c>
    </row>
    <row r="506" spans="1:17">
      <c r="E506" s="5">
        <f ca="1">TODAY()</f>
        <v>45946</v>
      </c>
      <c r="F506" t="str">
        <f>"Sum of Duration="&amp;SUM(F2:F501)</f>
        <v>Sum of Duration=67411</v>
      </c>
      <c r="H506" t="str">
        <f>"Avg Rating="&amp;AVERAGE(H2:H501)</f>
        <v>Avg Rating=3.7462</v>
      </c>
      <c r="J506" t="str">
        <f>"Count of Comments="&amp;COUNTA(J2:J501)</f>
        <v>Count of Comments=500</v>
      </c>
    </row>
    <row r="508" spans="1:17">
      <c r="F508" t="str">
        <f>"Min of Duration="&amp;MIN(F2:F501)</f>
        <v>Min of Duration=20</v>
      </c>
    </row>
    <row r="510" spans="1:17">
      <c r="F510" t="str">
        <f>"Max of Duration="&amp;MAX(F2:F501)</f>
        <v>Max of Duration=240</v>
      </c>
    </row>
  </sheetData>
  <conditionalFormatting sqref="H2:H501">
    <cfRule type="expression" dxfId="14" priority="2">
      <formula>$H2&gt;4.5</formula>
    </cfRule>
  </conditionalFormatting>
  <conditionalFormatting sqref="A2:L501">
    <cfRule type="expression" dxfId="13" priority="1">
      <formula>$H2&gt;4.5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9A2B-7D76-40D6-AA83-A67BC95ACB21}">
  <dimension ref="B2:F15"/>
  <sheetViews>
    <sheetView tabSelected="1" workbookViewId="0">
      <selection activeCell="F9" sqref="F9"/>
    </sheetView>
  </sheetViews>
  <sheetFormatPr defaultRowHeight="15"/>
  <cols>
    <col min="2" max="2" width="19.140625" customWidth="1"/>
    <col min="3" max="3" width="15.42578125" bestFit="1" customWidth="1"/>
    <col min="5" max="5" width="13.140625" customWidth="1"/>
  </cols>
  <sheetData>
    <row r="2" spans="2:6">
      <c r="B2" s="6">
        <f ca="1">NOW()</f>
        <v>45946.637391435186</v>
      </c>
    </row>
    <row r="5" spans="2:6">
      <c r="B5" t="s">
        <v>145</v>
      </c>
      <c r="E5" t="s">
        <v>146</v>
      </c>
    </row>
    <row r="7" spans="2:6">
      <c r="B7" t="s">
        <v>147</v>
      </c>
      <c r="C7" t="s">
        <v>7</v>
      </c>
      <c r="E7" t="s">
        <v>147</v>
      </c>
      <c r="F7" t="s">
        <v>148</v>
      </c>
    </row>
    <row r="8" spans="2:6">
      <c r="B8" s="7">
        <v>1012</v>
      </c>
      <c r="C8">
        <f>VLOOKUP(1012,Activity_Data!A1:Q501,8,FALSE)</f>
        <v>3.6</v>
      </c>
      <c r="E8" s="8">
        <v>1023</v>
      </c>
      <c r="F8">
        <f>INDEX(Activity_Data!F2:F501, MATCH(1023, Activity_Data!A2:A501, 0))</f>
        <v>162</v>
      </c>
    </row>
    <row r="11" spans="2:6">
      <c r="B11" t="s">
        <v>149</v>
      </c>
    </row>
    <row r="13" spans="2:6">
      <c r="B13" t="s">
        <v>150</v>
      </c>
      <c r="C13" t="s">
        <v>151</v>
      </c>
    </row>
    <row r="15" spans="2:6">
      <c r="B15">
        <v>11</v>
      </c>
      <c r="C15" t="str">
        <f>HLOOKUP("Activity_Type",Activity_Data!A1:J501,11,FALSE)</f>
        <v>Safari</v>
      </c>
    </row>
  </sheetData>
  <conditionalFormatting sqref="B8">
    <cfRule type="expression" dxfId="1" priority="2">
      <formula>$H8&gt;4.5</formula>
    </cfRule>
  </conditionalFormatting>
  <conditionalFormatting sqref="E8">
    <cfRule type="expression" dxfId="0" priority="1">
      <formula>$H8&gt;4.5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2025-10-11T04:45:01Z</dcterms:created>
  <dcterms:modified xsi:type="dcterms:W3CDTF">2025-10-16T09:49:36Z</dcterms:modified>
  <cp:category/>
  <cp:contentStatus/>
</cp:coreProperties>
</file>