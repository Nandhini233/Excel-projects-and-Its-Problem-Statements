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defaultThemeVersion="124226"/>
  <xr:revisionPtr revIDLastSave="0" documentId="8_{F396F2F5-A33D-42F6-B3BA-78B7B0196D3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4" i="1" l="1"/>
  <c r="V17" i="1"/>
  <c r="V13" i="1"/>
  <c r="V9" i="1"/>
  <c r="S9" i="1"/>
  <c r="I504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2" i="1"/>
  <c r="O492" i="1"/>
  <c r="O493" i="1"/>
  <c r="O494" i="1"/>
  <c r="O495" i="1"/>
  <c r="O496" i="1"/>
  <c r="O497" i="1"/>
  <c r="O498" i="1"/>
  <c r="O499" i="1"/>
  <c r="O500" i="1"/>
  <c r="O5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2" i="1"/>
  <c r="N491" i="1"/>
  <c r="N492" i="1"/>
  <c r="N493" i="1"/>
  <c r="N494" i="1"/>
  <c r="N495" i="1"/>
  <c r="N496" i="1"/>
  <c r="N497" i="1"/>
  <c r="N498" i="1"/>
  <c r="N499" i="1"/>
  <c r="N500" i="1"/>
  <c r="N5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2" i="1"/>
  <c r="M492" i="1"/>
  <c r="M493" i="1"/>
  <c r="M494" i="1"/>
  <c r="M495" i="1"/>
  <c r="M496" i="1"/>
  <c r="M497" i="1"/>
  <c r="M498" i="1"/>
  <c r="M499" i="1"/>
  <c r="M500" i="1"/>
  <c r="M5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2" i="1"/>
  <c r="L497" i="1"/>
  <c r="L498" i="1"/>
  <c r="L499" i="1"/>
  <c r="L500" i="1"/>
  <c r="L5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2" i="1"/>
  <c r="K3" i="1" a="1"/>
  <c r="K3" i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16" i="1" a="1"/>
  <c r="K16" i="1"/>
  <c r="K17" i="1" a="1"/>
  <c r="K17" i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/>
  <c r="K24" i="1" a="1"/>
  <c r="K24" i="1"/>
  <c r="K25" i="1" a="1"/>
  <c r="K25" i="1"/>
  <c r="K26" i="1" a="1"/>
  <c r="K26" i="1"/>
  <c r="K27" i="1" a="1"/>
  <c r="K27" i="1"/>
  <c r="K28" i="1" a="1"/>
  <c r="K28" i="1"/>
  <c r="K29" i="1" a="1"/>
  <c r="K29" i="1"/>
  <c r="K30" i="1" a="1"/>
  <c r="K30" i="1"/>
  <c r="K31" i="1" a="1"/>
  <c r="K31" i="1"/>
  <c r="K32" i="1" a="1"/>
  <c r="K32" i="1"/>
  <c r="K33" i="1" a="1"/>
  <c r="K33" i="1"/>
  <c r="K34" i="1" a="1"/>
  <c r="K34" i="1"/>
  <c r="K35" i="1" a="1"/>
  <c r="K35" i="1"/>
  <c r="K36" i="1" a="1"/>
  <c r="K36" i="1"/>
  <c r="K37" i="1" a="1"/>
  <c r="K37" i="1"/>
  <c r="K38" i="1" a="1"/>
  <c r="K38" i="1"/>
  <c r="K39" i="1" a="1"/>
  <c r="K39" i="1"/>
  <c r="K40" i="1" a="1"/>
  <c r="K40" i="1"/>
  <c r="K41" i="1" a="1"/>
  <c r="K41" i="1"/>
  <c r="K42" i="1" a="1"/>
  <c r="K42" i="1"/>
  <c r="K43" i="1" a="1"/>
  <c r="K43" i="1"/>
  <c r="K44" i="1" a="1"/>
  <c r="K44" i="1"/>
  <c r="K45" i="1" a="1"/>
  <c r="K45" i="1"/>
  <c r="K46" i="1" a="1"/>
  <c r="K46" i="1"/>
  <c r="K47" i="1" a="1"/>
  <c r="K47" i="1"/>
  <c r="K48" i="1" a="1"/>
  <c r="K48" i="1"/>
  <c r="K49" i="1" a="1"/>
  <c r="K49" i="1"/>
  <c r="K50" i="1" a="1"/>
  <c r="K50" i="1"/>
  <c r="K51" i="1" a="1"/>
  <c r="K51" i="1"/>
  <c r="K52" i="1" a="1"/>
  <c r="K52" i="1"/>
  <c r="K53" i="1" a="1"/>
  <c r="K53" i="1"/>
  <c r="K54" i="1" a="1"/>
  <c r="K54" i="1"/>
  <c r="K55" i="1" a="1"/>
  <c r="K55" i="1"/>
  <c r="K56" i="1" a="1"/>
  <c r="K56" i="1"/>
  <c r="K57" i="1" a="1"/>
  <c r="K57" i="1"/>
  <c r="K58" i="1" a="1"/>
  <c r="K58" i="1"/>
  <c r="K59" i="1" a="1"/>
  <c r="K59" i="1"/>
  <c r="K60" i="1" a="1"/>
  <c r="K60" i="1"/>
  <c r="K61" i="1" a="1"/>
  <c r="K61" i="1"/>
  <c r="K62" i="1" a="1"/>
  <c r="K62" i="1"/>
  <c r="K63" i="1" a="1"/>
  <c r="K63" i="1"/>
  <c r="K64" i="1" a="1"/>
  <c r="K64" i="1"/>
  <c r="K65" i="1" a="1"/>
  <c r="K65" i="1"/>
  <c r="K66" i="1" a="1"/>
  <c r="K66" i="1"/>
  <c r="K67" i="1" a="1"/>
  <c r="K67" i="1"/>
  <c r="K68" i="1" a="1"/>
  <c r="K68" i="1"/>
  <c r="K69" i="1" a="1"/>
  <c r="K69" i="1"/>
  <c r="K70" i="1" a="1"/>
  <c r="K70" i="1"/>
  <c r="K71" i="1" a="1"/>
  <c r="K71" i="1"/>
  <c r="K72" i="1" a="1"/>
  <c r="K72" i="1"/>
  <c r="K73" i="1" a="1"/>
  <c r="K73" i="1"/>
  <c r="K74" i="1" a="1"/>
  <c r="K74" i="1"/>
  <c r="K75" i="1" a="1"/>
  <c r="K75" i="1"/>
  <c r="K76" i="1" a="1"/>
  <c r="K76" i="1"/>
  <c r="K77" i="1" a="1"/>
  <c r="K77" i="1"/>
  <c r="K78" i="1" a="1"/>
  <c r="K78" i="1"/>
  <c r="K79" i="1" a="1"/>
  <c r="K79" i="1"/>
  <c r="K80" i="1" a="1"/>
  <c r="K80" i="1"/>
  <c r="K81" i="1" a="1"/>
  <c r="K81" i="1"/>
  <c r="K82" i="1" a="1"/>
  <c r="K82" i="1"/>
  <c r="K83" i="1" a="1"/>
  <c r="K83" i="1"/>
  <c r="K84" i="1" a="1"/>
  <c r="K84" i="1"/>
  <c r="K85" i="1" a="1"/>
  <c r="K85" i="1"/>
  <c r="K86" i="1" a="1"/>
  <c r="K86" i="1"/>
  <c r="K87" i="1" a="1"/>
  <c r="K87" i="1"/>
  <c r="K88" i="1" a="1"/>
  <c r="K88" i="1"/>
  <c r="K89" i="1" a="1"/>
  <c r="K89" i="1"/>
  <c r="K90" i="1" a="1"/>
  <c r="K90" i="1"/>
  <c r="K91" i="1" a="1"/>
  <c r="K91" i="1"/>
  <c r="K92" i="1" a="1"/>
  <c r="K92" i="1"/>
  <c r="K93" i="1" a="1"/>
  <c r="K93" i="1"/>
  <c r="K94" i="1" a="1"/>
  <c r="K94" i="1"/>
  <c r="K95" i="1" a="1"/>
  <c r="K95" i="1"/>
  <c r="K96" i="1" a="1"/>
  <c r="K96" i="1"/>
  <c r="K97" i="1" a="1"/>
  <c r="K97" i="1"/>
  <c r="K98" i="1" a="1"/>
  <c r="K98" i="1"/>
  <c r="K99" i="1" a="1"/>
  <c r="K99" i="1"/>
  <c r="K100" i="1" a="1"/>
  <c r="K100" i="1"/>
  <c r="K101" i="1" a="1"/>
  <c r="K101" i="1"/>
  <c r="K102" i="1" a="1"/>
  <c r="K102" i="1"/>
  <c r="K103" i="1" a="1"/>
  <c r="K103" i="1"/>
  <c r="K104" i="1" a="1"/>
  <c r="K104" i="1"/>
  <c r="K105" i="1" a="1"/>
  <c r="K105" i="1"/>
  <c r="K106" i="1" a="1"/>
  <c r="K106" i="1"/>
  <c r="K107" i="1" a="1"/>
  <c r="K107" i="1"/>
  <c r="K108" i="1" a="1"/>
  <c r="K108" i="1"/>
  <c r="K109" i="1" a="1"/>
  <c r="K109" i="1"/>
  <c r="K110" i="1" a="1"/>
  <c r="K110" i="1"/>
  <c r="K111" i="1" a="1"/>
  <c r="K111" i="1"/>
  <c r="K112" i="1" a="1"/>
  <c r="K112" i="1"/>
  <c r="K113" i="1" a="1"/>
  <c r="K113" i="1"/>
  <c r="K114" i="1" a="1"/>
  <c r="K114" i="1"/>
  <c r="K115" i="1" a="1"/>
  <c r="K115" i="1"/>
  <c r="K116" i="1" a="1"/>
  <c r="K116" i="1"/>
  <c r="K117" i="1" a="1"/>
  <c r="K117" i="1"/>
  <c r="K118" i="1" a="1"/>
  <c r="K118" i="1"/>
  <c r="K119" i="1" a="1"/>
  <c r="K119" i="1"/>
  <c r="K120" i="1" a="1"/>
  <c r="K120" i="1"/>
  <c r="K121" i="1" a="1"/>
  <c r="K121" i="1"/>
  <c r="K122" i="1" a="1"/>
  <c r="K122" i="1"/>
  <c r="K123" i="1" a="1"/>
  <c r="K123" i="1"/>
  <c r="K124" i="1" a="1"/>
  <c r="K124" i="1"/>
  <c r="K125" i="1" a="1"/>
  <c r="K125" i="1"/>
  <c r="K126" i="1" a="1"/>
  <c r="K126" i="1"/>
  <c r="K127" i="1" a="1"/>
  <c r="K127" i="1"/>
  <c r="K128" i="1" a="1"/>
  <c r="K128" i="1"/>
  <c r="K129" i="1" a="1"/>
  <c r="K129" i="1"/>
  <c r="K130" i="1" a="1"/>
  <c r="K130" i="1"/>
  <c r="K131" i="1" a="1"/>
  <c r="K131" i="1"/>
  <c r="K132" i="1" a="1"/>
  <c r="K132" i="1"/>
  <c r="K133" i="1" a="1"/>
  <c r="K133" i="1"/>
  <c r="K134" i="1" a="1"/>
  <c r="K134" i="1"/>
  <c r="K135" i="1" a="1"/>
  <c r="K135" i="1"/>
  <c r="K136" i="1" a="1"/>
  <c r="K136" i="1"/>
  <c r="K137" i="1" a="1"/>
  <c r="K137" i="1"/>
  <c r="K138" i="1" a="1"/>
  <c r="K138" i="1"/>
  <c r="K139" i="1" a="1"/>
  <c r="K139" i="1"/>
  <c r="K140" i="1" a="1"/>
  <c r="K140" i="1"/>
  <c r="K141" i="1" a="1"/>
  <c r="K141" i="1"/>
  <c r="K142" i="1" a="1"/>
  <c r="K142" i="1"/>
  <c r="K143" i="1" a="1"/>
  <c r="K143" i="1"/>
  <c r="K144" i="1" a="1"/>
  <c r="K144" i="1"/>
  <c r="K145" i="1" a="1"/>
  <c r="K145" i="1"/>
  <c r="K146" i="1" a="1"/>
  <c r="K146" i="1"/>
  <c r="K147" i="1" a="1"/>
  <c r="K147" i="1"/>
  <c r="K148" i="1" a="1"/>
  <c r="K148" i="1"/>
  <c r="K149" i="1" a="1"/>
  <c r="K149" i="1"/>
  <c r="K150" i="1" a="1"/>
  <c r="K150" i="1"/>
  <c r="K151" i="1" a="1"/>
  <c r="K151" i="1"/>
  <c r="K152" i="1" a="1"/>
  <c r="K152" i="1"/>
  <c r="K153" i="1" a="1"/>
  <c r="K153" i="1"/>
  <c r="K154" i="1" a="1"/>
  <c r="K154" i="1"/>
  <c r="K155" i="1" a="1"/>
  <c r="K155" i="1"/>
  <c r="K156" i="1" a="1"/>
  <c r="K156" i="1"/>
  <c r="K157" i="1" a="1"/>
  <c r="K157" i="1"/>
  <c r="K158" i="1" a="1"/>
  <c r="K158" i="1"/>
  <c r="K159" i="1" a="1"/>
  <c r="K159" i="1"/>
  <c r="K160" i="1" a="1"/>
  <c r="K160" i="1"/>
  <c r="K161" i="1" a="1"/>
  <c r="K161" i="1"/>
  <c r="K162" i="1" a="1"/>
  <c r="K162" i="1"/>
  <c r="K163" i="1" a="1"/>
  <c r="K163" i="1"/>
  <c r="K164" i="1" a="1"/>
  <c r="K164" i="1"/>
  <c r="K165" i="1" a="1"/>
  <c r="K165" i="1"/>
  <c r="K166" i="1" a="1"/>
  <c r="K166" i="1"/>
  <c r="K167" i="1" a="1"/>
  <c r="K167" i="1"/>
  <c r="K168" i="1" a="1"/>
  <c r="K168" i="1"/>
  <c r="K169" i="1" a="1"/>
  <c r="K169" i="1"/>
  <c r="K170" i="1" a="1"/>
  <c r="K170" i="1"/>
  <c r="K171" i="1" a="1"/>
  <c r="K171" i="1"/>
  <c r="K172" i="1" a="1"/>
  <c r="K172" i="1"/>
  <c r="K173" i="1" a="1"/>
  <c r="K173" i="1"/>
  <c r="K174" i="1" a="1"/>
  <c r="K174" i="1"/>
  <c r="K175" i="1" a="1"/>
  <c r="K175" i="1"/>
  <c r="K176" i="1" a="1"/>
  <c r="K176" i="1"/>
  <c r="K177" i="1" a="1"/>
  <c r="K177" i="1"/>
  <c r="K178" i="1" a="1"/>
  <c r="K178" i="1"/>
  <c r="K179" i="1" a="1"/>
  <c r="K179" i="1"/>
  <c r="K180" i="1" a="1"/>
  <c r="K180" i="1"/>
  <c r="K181" i="1" a="1"/>
  <c r="K181" i="1"/>
  <c r="K182" i="1" a="1"/>
  <c r="K182" i="1"/>
  <c r="K183" i="1" a="1"/>
  <c r="K183" i="1"/>
  <c r="K184" i="1" a="1"/>
  <c r="K184" i="1"/>
  <c r="K185" i="1" a="1"/>
  <c r="K185" i="1"/>
  <c r="K186" i="1" a="1"/>
  <c r="K186" i="1"/>
  <c r="K187" i="1" a="1"/>
  <c r="K187" i="1"/>
  <c r="K188" i="1" a="1"/>
  <c r="K188" i="1"/>
  <c r="K189" i="1" a="1"/>
  <c r="K189" i="1"/>
  <c r="K190" i="1" a="1"/>
  <c r="K190" i="1"/>
  <c r="K191" i="1" a="1"/>
  <c r="K191" i="1"/>
  <c r="K192" i="1" a="1"/>
  <c r="K192" i="1"/>
  <c r="K193" i="1" a="1"/>
  <c r="K193" i="1"/>
  <c r="K194" i="1" a="1"/>
  <c r="K194" i="1"/>
  <c r="K195" i="1" a="1"/>
  <c r="K195" i="1"/>
  <c r="K196" i="1" a="1"/>
  <c r="K196" i="1"/>
  <c r="K197" i="1" a="1"/>
  <c r="K197" i="1"/>
  <c r="K198" i="1" a="1"/>
  <c r="K198" i="1"/>
  <c r="K199" i="1" a="1"/>
  <c r="K199" i="1"/>
  <c r="K200" i="1" a="1"/>
  <c r="K200" i="1"/>
  <c r="K201" i="1" a="1"/>
  <c r="K201" i="1"/>
  <c r="K202" i="1" a="1"/>
  <c r="K202" i="1"/>
  <c r="K203" i="1" a="1"/>
  <c r="K203" i="1"/>
  <c r="K204" i="1" a="1"/>
  <c r="K204" i="1"/>
  <c r="K205" i="1" a="1"/>
  <c r="K205" i="1"/>
  <c r="K206" i="1" a="1"/>
  <c r="K206" i="1"/>
  <c r="K207" i="1" a="1"/>
  <c r="K207" i="1"/>
  <c r="K208" i="1" a="1"/>
  <c r="K208" i="1"/>
  <c r="K209" i="1" a="1"/>
  <c r="K209" i="1"/>
  <c r="K210" i="1" a="1"/>
  <c r="K210" i="1"/>
  <c r="K211" i="1" a="1"/>
  <c r="K211" i="1"/>
  <c r="K212" i="1" a="1"/>
  <c r="K212" i="1"/>
  <c r="K213" i="1" a="1"/>
  <c r="K213" i="1"/>
  <c r="K214" i="1" a="1"/>
  <c r="K214" i="1"/>
  <c r="K215" i="1" a="1"/>
  <c r="K215" i="1"/>
  <c r="K216" i="1" a="1"/>
  <c r="K216" i="1"/>
  <c r="K217" i="1" a="1"/>
  <c r="K217" i="1"/>
  <c r="K218" i="1" a="1"/>
  <c r="K218" i="1"/>
  <c r="K219" i="1" a="1"/>
  <c r="K219" i="1"/>
  <c r="K220" i="1" a="1"/>
  <c r="K220" i="1"/>
  <c r="K221" i="1" a="1"/>
  <c r="K221" i="1"/>
  <c r="K222" i="1" a="1"/>
  <c r="K222" i="1"/>
  <c r="K223" i="1" a="1"/>
  <c r="K223" i="1"/>
  <c r="K224" i="1" a="1"/>
  <c r="K224" i="1"/>
  <c r="K225" i="1" a="1"/>
  <c r="K225" i="1"/>
  <c r="K226" i="1" a="1"/>
  <c r="K226" i="1"/>
  <c r="K227" i="1" a="1"/>
  <c r="K227" i="1"/>
  <c r="K228" i="1" a="1"/>
  <c r="K228" i="1"/>
  <c r="K229" i="1" a="1"/>
  <c r="K229" i="1"/>
  <c r="K230" i="1" a="1"/>
  <c r="K230" i="1"/>
  <c r="K231" i="1" a="1"/>
  <c r="K231" i="1"/>
  <c r="K232" i="1" a="1"/>
  <c r="K232" i="1"/>
  <c r="K233" i="1" a="1"/>
  <c r="K233" i="1"/>
  <c r="K234" i="1" a="1"/>
  <c r="K234" i="1"/>
  <c r="K235" i="1" a="1"/>
  <c r="K235" i="1"/>
  <c r="K236" i="1" a="1"/>
  <c r="K236" i="1"/>
  <c r="K237" i="1" a="1"/>
  <c r="K237" i="1"/>
  <c r="K238" i="1" a="1"/>
  <c r="K238" i="1"/>
  <c r="K239" i="1" a="1"/>
  <c r="K239" i="1"/>
  <c r="K240" i="1" a="1"/>
  <c r="K240" i="1"/>
  <c r="K241" i="1" a="1"/>
  <c r="K241" i="1"/>
  <c r="K242" i="1" a="1"/>
  <c r="K242" i="1"/>
  <c r="K243" i="1" a="1"/>
  <c r="K243" i="1"/>
  <c r="K244" i="1" a="1"/>
  <c r="K244" i="1"/>
  <c r="K245" i="1" a="1"/>
  <c r="K245" i="1"/>
  <c r="K246" i="1" a="1"/>
  <c r="K246" i="1"/>
  <c r="K247" i="1" a="1"/>
  <c r="K247" i="1"/>
  <c r="K248" i="1" a="1"/>
  <c r="K248" i="1"/>
  <c r="K249" i="1" a="1"/>
  <c r="K249" i="1"/>
  <c r="K250" i="1" a="1"/>
  <c r="K250" i="1"/>
  <c r="K251" i="1" a="1"/>
  <c r="K251" i="1"/>
  <c r="K252" i="1" a="1"/>
  <c r="K252" i="1"/>
  <c r="K253" i="1" a="1"/>
  <c r="K253" i="1"/>
  <c r="K254" i="1" a="1"/>
  <c r="K254" i="1"/>
  <c r="K255" i="1" a="1"/>
  <c r="K255" i="1"/>
  <c r="K256" i="1" a="1"/>
  <c r="K256" i="1"/>
  <c r="K257" i="1" a="1"/>
  <c r="K257" i="1"/>
  <c r="K258" i="1" a="1"/>
  <c r="K258" i="1"/>
  <c r="K259" i="1" a="1"/>
  <c r="K259" i="1"/>
  <c r="K260" i="1" a="1"/>
  <c r="K260" i="1"/>
  <c r="K261" i="1" a="1"/>
  <c r="K261" i="1"/>
  <c r="K262" i="1" a="1"/>
  <c r="K262" i="1"/>
  <c r="K263" i="1" a="1"/>
  <c r="K263" i="1"/>
  <c r="K264" i="1" a="1"/>
  <c r="K264" i="1"/>
  <c r="K265" i="1" a="1"/>
  <c r="K265" i="1"/>
  <c r="K266" i="1" a="1"/>
  <c r="K266" i="1"/>
  <c r="K267" i="1" a="1"/>
  <c r="K267" i="1"/>
  <c r="K268" i="1" a="1"/>
  <c r="K268" i="1"/>
  <c r="K269" i="1" a="1"/>
  <c r="K269" i="1"/>
  <c r="K270" i="1" a="1"/>
  <c r="K270" i="1"/>
  <c r="K271" i="1" a="1"/>
  <c r="K271" i="1"/>
  <c r="K272" i="1" a="1"/>
  <c r="K272" i="1"/>
  <c r="K273" i="1" a="1"/>
  <c r="K273" i="1"/>
  <c r="K274" i="1" a="1"/>
  <c r="K274" i="1"/>
  <c r="K275" i="1" a="1"/>
  <c r="K275" i="1"/>
  <c r="K276" i="1" a="1"/>
  <c r="K276" i="1"/>
  <c r="K277" i="1" a="1"/>
  <c r="K277" i="1"/>
  <c r="K278" i="1" a="1"/>
  <c r="K278" i="1"/>
  <c r="K279" i="1" a="1"/>
  <c r="K279" i="1"/>
  <c r="K280" i="1" a="1"/>
  <c r="K280" i="1"/>
  <c r="K281" i="1" a="1"/>
  <c r="K281" i="1"/>
  <c r="K282" i="1" a="1"/>
  <c r="K282" i="1"/>
  <c r="K283" i="1" a="1"/>
  <c r="K283" i="1"/>
  <c r="K284" i="1" a="1"/>
  <c r="K284" i="1"/>
  <c r="K285" i="1" a="1"/>
  <c r="K285" i="1"/>
  <c r="K286" i="1" a="1"/>
  <c r="K286" i="1"/>
  <c r="K287" i="1" a="1"/>
  <c r="K287" i="1"/>
  <c r="K288" i="1" a="1"/>
  <c r="K288" i="1"/>
  <c r="K289" i="1" a="1"/>
  <c r="K289" i="1"/>
  <c r="K290" i="1" a="1"/>
  <c r="K290" i="1"/>
  <c r="K291" i="1" a="1"/>
  <c r="K291" i="1"/>
  <c r="K292" i="1" a="1"/>
  <c r="K292" i="1"/>
  <c r="K293" i="1" a="1"/>
  <c r="K293" i="1"/>
  <c r="K294" i="1" a="1"/>
  <c r="K294" i="1"/>
  <c r="K295" i="1" a="1"/>
  <c r="K295" i="1"/>
  <c r="K296" i="1" a="1"/>
  <c r="K296" i="1"/>
  <c r="K297" i="1" a="1"/>
  <c r="K297" i="1"/>
  <c r="K298" i="1" a="1"/>
  <c r="K298" i="1"/>
  <c r="K299" i="1" a="1"/>
  <c r="K299" i="1"/>
  <c r="K300" i="1" a="1"/>
  <c r="K300" i="1"/>
  <c r="K301" i="1" a="1"/>
  <c r="K301" i="1"/>
  <c r="K302" i="1" a="1"/>
  <c r="K302" i="1"/>
  <c r="K303" i="1" a="1"/>
  <c r="K303" i="1"/>
  <c r="K304" i="1" a="1"/>
  <c r="K304" i="1"/>
  <c r="K305" i="1" a="1"/>
  <c r="K305" i="1"/>
  <c r="K306" i="1" a="1"/>
  <c r="K306" i="1"/>
  <c r="K307" i="1" a="1"/>
  <c r="K307" i="1"/>
  <c r="K308" i="1" a="1"/>
  <c r="K308" i="1"/>
  <c r="K309" i="1" a="1"/>
  <c r="K309" i="1"/>
  <c r="K310" i="1" a="1"/>
  <c r="K310" i="1"/>
  <c r="K311" i="1" a="1"/>
  <c r="K311" i="1"/>
  <c r="K312" i="1" a="1"/>
  <c r="K312" i="1"/>
  <c r="K313" i="1" a="1"/>
  <c r="K313" i="1"/>
  <c r="K314" i="1" a="1"/>
  <c r="K314" i="1"/>
  <c r="K315" i="1" a="1"/>
  <c r="K315" i="1"/>
  <c r="K316" i="1" a="1"/>
  <c r="K316" i="1"/>
  <c r="K317" i="1" a="1"/>
  <c r="K317" i="1"/>
  <c r="K318" i="1" a="1"/>
  <c r="K318" i="1"/>
  <c r="K319" i="1" a="1"/>
  <c r="K319" i="1"/>
  <c r="K320" i="1" a="1"/>
  <c r="K320" i="1"/>
  <c r="K321" i="1" a="1"/>
  <c r="K321" i="1"/>
  <c r="K322" i="1" a="1"/>
  <c r="K322" i="1"/>
  <c r="K323" i="1" a="1"/>
  <c r="K323" i="1"/>
  <c r="K324" i="1" a="1"/>
  <c r="K324" i="1"/>
  <c r="K325" i="1" a="1"/>
  <c r="K325" i="1"/>
  <c r="K326" i="1" a="1"/>
  <c r="K326" i="1"/>
  <c r="K327" i="1" a="1"/>
  <c r="K327" i="1"/>
  <c r="K328" i="1" a="1"/>
  <c r="K328" i="1"/>
  <c r="K329" i="1" a="1"/>
  <c r="K329" i="1"/>
  <c r="K330" i="1" a="1"/>
  <c r="K330" i="1"/>
  <c r="K331" i="1" a="1"/>
  <c r="K331" i="1"/>
  <c r="K332" i="1" a="1"/>
  <c r="K332" i="1"/>
  <c r="K333" i="1" a="1"/>
  <c r="K333" i="1"/>
  <c r="K334" i="1" a="1"/>
  <c r="K334" i="1"/>
  <c r="K335" i="1" a="1"/>
  <c r="K335" i="1"/>
  <c r="K336" i="1" a="1"/>
  <c r="K336" i="1"/>
  <c r="K337" i="1" a="1"/>
  <c r="K337" i="1"/>
  <c r="K338" i="1" a="1"/>
  <c r="K338" i="1"/>
  <c r="K339" i="1" a="1"/>
  <c r="K339" i="1"/>
  <c r="K340" i="1" a="1"/>
  <c r="K340" i="1"/>
  <c r="K341" i="1" a="1"/>
  <c r="K341" i="1"/>
  <c r="K342" i="1" a="1"/>
  <c r="K342" i="1"/>
  <c r="K343" i="1" a="1"/>
  <c r="K343" i="1"/>
  <c r="K344" i="1" a="1"/>
  <c r="K344" i="1"/>
  <c r="K345" i="1" a="1"/>
  <c r="K345" i="1"/>
  <c r="K346" i="1" a="1"/>
  <c r="K346" i="1"/>
  <c r="K347" i="1" a="1"/>
  <c r="K347" i="1"/>
  <c r="K348" i="1" a="1"/>
  <c r="K348" i="1"/>
  <c r="K349" i="1" a="1"/>
  <c r="K349" i="1"/>
  <c r="K350" i="1" a="1"/>
  <c r="K350" i="1"/>
  <c r="K351" i="1" a="1"/>
  <c r="K351" i="1"/>
  <c r="K352" i="1" a="1"/>
  <c r="K352" i="1"/>
  <c r="K353" i="1" a="1"/>
  <c r="K353" i="1"/>
  <c r="K354" i="1" a="1"/>
  <c r="K354" i="1"/>
  <c r="K355" i="1" a="1"/>
  <c r="K355" i="1"/>
  <c r="K356" i="1" a="1"/>
  <c r="K356" i="1"/>
  <c r="K357" i="1" a="1"/>
  <c r="K357" i="1"/>
  <c r="K358" i="1" a="1"/>
  <c r="K358" i="1"/>
  <c r="K359" i="1" a="1"/>
  <c r="K359" i="1"/>
  <c r="K360" i="1" a="1"/>
  <c r="K360" i="1"/>
  <c r="K361" i="1" a="1"/>
  <c r="K361" i="1"/>
  <c r="K362" i="1" a="1"/>
  <c r="K362" i="1"/>
  <c r="K363" i="1" a="1"/>
  <c r="K363" i="1"/>
  <c r="K364" i="1" a="1"/>
  <c r="K364" i="1"/>
  <c r="K365" i="1" a="1"/>
  <c r="K365" i="1"/>
  <c r="K366" i="1" a="1"/>
  <c r="K366" i="1"/>
  <c r="K367" i="1" a="1"/>
  <c r="K367" i="1"/>
  <c r="K368" i="1" a="1"/>
  <c r="K368" i="1"/>
  <c r="K369" i="1" a="1"/>
  <c r="K369" i="1"/>
  <c r="K370" i="1" a="1"/>
  <c r="K370" i="1"/>
  <c r="K371" i="1" a="1"/>
  <c r="K371" i="1"/>
  <c r="K372" i="1" a="1"/>
  <c r="K372" i="1"/>
  <c r="K373" i="1" a="1"/>
  <c r="K373" i="1"/>
  <c r="K374" i="1" a="1"/>
  <c r="K374" i="1"/>
  <c r="K375" i="1" a="1"/>
  <c r="K375" i="1"/>
  <c r="K376" i="1" a="1"/>
  <c r="K376" i="1"/>
  <c r="K377" i="1" a="1"/>
  <c r="K377" i="1"/>
  <c r="K378" i="1" a="1"/>
  <c r="K378" i="1"/>
  <c r="K379" i="1" a="1"/>
  <c r="K379" i="1"/>
  <c r="K380" i="1" a="1"/>
  <c r="K380" i="1"/>
  <c r="K381" i="1" a="1"/>
  <c r="K381" i="1"/>
  <c r="K382" i="1" a="1"/>
  <c r="K382" i="1"/>
  <c r="K383" i="1" a="1"/>
  <c r="K383" i="1"/>
  <c r="K384" i="1" a="1"/>
  <c r="K384" i="1"/>
  <c r="K385" i="1" a="1"/>
  <c r="K385" i="1"/>
  <c r="K386" i="1" a="1"/>
  <c r="K386" i="1"/>
  <c r="K387" i="1" a="1"/>
  <c r="K387" i="1"/>
  <c r="K388" i="1" a="1"/>
  <c r="K388" i="1"/>
  <c r="K389" i="1" a="1"/>
  <c r="K389" i="1"/>
  <c r="K390" i="1" a="1"/>
  <c r="K390" i="1"/>
  <c r="K391" i="1" a="1"/>
  <c r="K391" i="1"/>
  <c r="K392" i="1" a="1"/>
  <c r="K392" i="1"/>
  <c r="K393" i="1" a="1"/>
  <c r="K393" i="1"/>
  <c r="K394" i="1" a="1"/>
  <c r="K394" i="1"/>
  <c r="K395" i="1" a="1"/>
  <c r="K395" i="1"/>
  <c r="K396" i="1" a="1"/>
  <c r="K396" i="1"/>
  <c r="K397" i="1" a="1"/>
  <c r="K397" i="1"/>
  <c r="K398" i="1" a="1"/>
  <c r="K398" i="1"/>
  <c r="K399" i="1" a="1"/>
  <c r="K399" i="1"/>
  <c r="K400" i="1" a="1"/>
  <c r="K400" i="1"/>
  <c r="K401" i="1" a="1"/>
  <c r="K401" i="1"/>
  <c r="K402" i="1" a="1"/>
  <c r="K402" i="1"/>
  <c r="K403" i="1" a="1"/>
  <c r="K403" i="1"/>
  <c r="K404" i="1" a="1"/>
  <c r="K404" i="1"/>
  <c r="K405" i="1" a="1"/>
  <c r="K405" i="1"/>
  <c r="K406" i="1" a="1"/>
  <c r="K406" i="1"/>
  <c r="K407" i="1" a="1"/>
  <c r="K407" i="1"/>
  <c r="K408" i="1" a="1"/>
  <c r="K408" i="1"/>
  <c r="K409" i="1" a="1"/>
  <c r="K409" i="1"/>
  <c r="K410" i="1" a="1"/>
  <c r="K410" i="1"/>
  <c r="K411" i="1" a="1"/>
  <c r="K411" i="1"/>
  <c r="K412" i="1" a="1"/>
  <c r="K412" i="1"/>
  <c r="K413" i="1" a="1"/>
  <c r="K413" i="1"/>
  <c r="K414" i="1" a="1"/>
  <c r="K414" i="1"/>
  <c r="K415" i="1" a="1"/>
  <c r="K415" i="1"/>
  <c r="K416" i="1" a="1"/>
  <c r="K416" i="1"/>
  <c r="K417" i="1" a="1"/>
  <c r="K417" i="1"/>
  <c r="K418" i="1" a="1"/>
  <c r="K418" i="1"/>
  <c r="K419" i="1" a="1"/>
  <c r="K419" i="1"/>
  <c r="K420" i="1" a="1"/>
  <c r="K420" i="1"/>
  <c r="K421" i="1" a="1"/>
  <c r="K421" i="1"/>
  <c r="K422" i="1" a="1"/>
  <c r="K422" i="1"/>
  <c r="K423" i="1" a="1"/>
  <c r="K423" i="1"/>
  <c r="K424" i="1" a="1"/>
  <c r="K424" i="1"/>
  <c r="K425" i="1" a="1"/>
  <c r="K425" i="1"/>
  <c r="K426" i="1" a="1"/>
  <c r="K426" i="1"/>
  <c r="K427" i="1" a="1"/>
  <c r="K427" i="1"/>
  <c r="K428" i="1" a="1"/>
  <c r="K428" i="1"/>
  <c r="K429" i="1" a="1"/>
  <c r="K429" i="1"/>
  <c r="K430" i="1" a="1"/>
  <c r="K430" i="1"/>
  <c r="K431" i="1" a="1"/>
  <c r="K431" i="1"/>
  <c r="K432" i="1" a="1"/>
  <c r="K432" i="1"/>
  <c r="K433" i="1" a="1"/>
  <c r="K433" i="1"/>
  <c r="K434" i="1" a="1"/>
  <c r="K434" i="1"/>
  <c r="K435" i="1" a="1"/>
  <c r="K435" i="1"/>
  <c r="K436" i="1" a="1"/>
  <c r="K436" i="1"/>
  <c r="K437" i="1" a="1"/>
  <c r="K437" i="1"/>
  <c r="K438" i="1" a="1"/>
  <c r="K438" i="1"/>
  <c r="K439" i="1" a="1"/>
  <c r="K439" i="1"/>
  <c r="K440" i="1" a="1"/>
  <c r="K440" i="1"/>
  <c r="K441" i="1" a="1"/>
  <c r="K441" i="1"/>
  <c r="K442" i="1" a="1"/>
  <c r="K442" i="1"/>
  <c r="K443" i="1" a="1"/>
  <c r="K443" i="1"/>
  <c r="K444" i="1" a="1"/>
  <c r="K444" i="1"/>
  <c r="K445" i="1" a="1"/>
  <c r="K445" i="1"/>
  <c r="K446" i="1" a="1"/>
  <c r="K446" i="1"/>
  <c r="K447" i="1" a="1"/>
  <c r="K447" i="1"/>
  <c r="K448" i="1" a="1"/>
  <c r="K448" i="1"/>
  <c r="K449" i="1" a="1"/>
  <c r="K449" i="1"/>
  <c r="K450" i="1" a="1"/>
  <c r="K450" i="1"/>
  <c r="K451" i="1" a="1"/>
  <c r="K451" i="1"/>
  <c r="K452" i="1" a="1"/>
  <c r="K452" i="1"/>
  <c r="K453" i="1" a="1"/>
  <c r="K453" i="1"/>
  <c r="K454" i="1" a="1"/>
  <c r="K454" i="1"/>
  <c r="K455" i="1" a="1"/>
  <c r="K455" i="1"/>
  <c r="K456" i="1" a="1"/>
  <c r="K456" i="1"/>
  <c r="K457" i="1" a="1"/>
  <c r="K457" i="1"/>
  <c r="K458" i="1" a="1"/>
  <c r="K458" i="1"/>
  <c r="K459" i="1" a="1"/>
  <c r="K459" i="1"/>
  <c r="K460" i="1" a="1"/>
  <c r="K460" i="1"/>
  <c r="K461" i="1" a="1"/>
  <c r="K461" i="1"/>
  <c r="K462" i="1" a="1"/>
  <c r="K462" i="1"/>
  <c r="K463" i="1" a="1"/>
  <c r="K463" i="1"/>
  <c r="K464" i="1" a="1"/>
  <c r="K464" i="1"/>
  <c r="K465" i="1" a="1"/>
  <c r="K465" i="1"/>
  <c r="K466" i="1" a="1"/>
  <c r="K466" i="1"/>
  <c r="K467" i="1" a="1"/>
  <c r="K467" i="1"/>
  <c r="K468" i="1" a="1"/>
  <c r="K468" i="1"/>
  <c r="K469" i="1" a="1"/>
  <c r="K469" i="1"/>
  <c r="K470" i="1" a="1"/>
  <c r="K470" i="1"/>
  <c r="K471" i="1" a="1"/>
  <c r="K471" i="1"/>
  <c r="K472" i="1" a="1"/>
  <c r="K472" i="1"/>
  <c r="K473" i="1" a="1"/>
  <c r="K473" i="1"/>
  <c r="K474" i="1" a="1"/>
  <c r="K474" i="1"/>
  <c r="K475" i="1" a="1"/>
  <c r="K475" i="1"/>
  <c r="K476" i="1" a="1"/>
  <c r="K476" i="1"/>
  <c r="K477" i="1" a="1"/>
  <c r="K477" i="1"/>
  <c r="K478" i="1" a="1"/>
  <c r="K478" i="1"/>
  <c r="K479" i="1" a="1"/>
  <c r="K479" i="1"/>
  <c r="K480" i="1" a="1"/>
  <c r="K480" i="1"/>
  <c r="K481" i="1" a="1"/>
  <c r="K481" i="1"/>
  <c r="K482" i="1" a="1"/>
  <c r="K482" i="1"/>
  <c r="K483" i="1" a="1"/>
  <c r="K483" i="1"/>
  <c r="K484" i="1" a="1"/>
  <c r="K484" i="1"/>
  <c r="K485" i="1" a="1"/>
  <c r="K485" i="1"/>
  <c r="K486" i="1" a="1"/>
  <c r="K486" i="1"/>
  <c r="K487" i="1" a="1"/>
  <c r="K487" i="1"/>
  <c r="K488" i="1" a="1"/>
  <c r="K488" i="1"/>
  <c r="K489" i="1" a="1"/>
  <c r="K489" i="1"/>
  <c r="K490" i="1" a="1"/>
  <c r="K490" i="1"/>
  <c r="K491" i="1" a="1"/>
  <c r="K491" i="1"/>
  <c r="K492" i="1" a="1"/>
  <c r="K492" i="1"/>
  <c r="K493" i="1" a="1"/>
  <c r="K493" i="1"/>
  <c r="K494" i="1" a="1"/>
  <c r="K494" i="1"/>
  <c r="K495" i="1" a="1"/>
  <c r="K495" i="1"/>
  <c r="K496" i="1" a="1"/>
  <c r="K496" i="1"/>
  <c r="K497" i="1" a="1"/>
  <c r="K497" i="1"/>
  <c r="K498" i="1" a="1"/>
  <c r="K498" i="1"/>
  <c r="K499" i="1" a="1"/>
  <c r="K499" i="1"/>
  <c r="K500" i="1" a="1"/>
  <c r="K500" i="1"/>
  <c r="K501" i="1" a="1"/>
  <c r="K501" i="1"/>
  <c r="K2" i="1" a="1"/>
  <c r="K2" i="1"/>
  <c r="J11" i="1"/>
  <c r="J3" i="1"/>
  <c r="J4" i="1"/>
  <c r="J5" i="1"/>
  <c r="J6" i="1"/>
  <c r="J7" i="1"/>
  <c r="J8" i="1"/>
  <c r="J9" i="1"/>
  <c r="J10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  <c r="D514" i="1"/>
  <c r="D512" i="1"/>
  <c r="E506" i="1"/>
  <c r="D510" i="1"/>
  <c r="D504" i="1"/>
  <c r="D508" i="1"/>
  <c r="D50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<sst xmlns="http://schemas.openxmlformats.org/spreadsheetml/2006/main" count="2529" uniqueCount="1034">
  <si>
    <t>MovieID</t>
  </si>
  <si>
    <t>Title</t>
  </si>
  <si>
    <t>Genre</t>
  </si>
  <si>
    <t>Duration_Minutes</t>
  </si>
  <si>
    <t>Rating</t>
  </si>
  <si>
    <t>Language</t>
  </si>
  <si>
    <t>ReleasedYear</t>
  </si>
  <si>
    <t>Available</t>
  </si>
  <si>
    <t>LastWatchedDate</t>
  </si>
  <si>
    <t>Short_or_long</t>
  </si>
  <si>
    <t>Rating Level</t>
  </si>
  <si>
    <t>Movie</t>
  </si>
  <si>
    <t>3 LETTER OF LAG</t>
  </si>
  <si>
    <t>Year</t>
  </si>
  <si>
    <t>Len of Title</t>
  </si>
  <si>
    <t>Remove extra space</t>
  </si>
  <si>
    <t>M1000</t>
  </si>
  <si>
    <t>Movie_0</t>
  </si>
  <si>
    <t>Horror</t>
  </si>
  <si>
    <t>Japanese</t>
  </si>
  <si>
    <t>Yes</t>
  </si>
  <si>
    <t>M1001</t>
  </si>
  <si>
    <t>Movie_1</t>
  </si>
  <si>
    <t>Action</t>
  </si>
  <si>
    <t>Hindi</t>
  </si>
  <si>
    <t>No</t>
  </si>
  <si>
    <t>M1002</t>
  </si>
  <si>
    <t>Movie_2</t>
  </si>
  <si>
    <t>Spanish</t>
  </si>
  <si>
    <t>M1003</t>
  </si>
  <si>
    <t>Movie_3</t>
  </si>
  <si>
    <t>French</t>
  </si>
  <si>
    <t>M1004</t>
  </si>
  <si>
    <t>Movie_4</t>
  </si>
  <si>
    <t>Drama</t>
  </si>
  <si>
    <t>English</t>
  </si>
  <si>
    <t>VLOOKUP</t>
  </si>
  <si>
    <t>INDEX AND MATCH</t>
  </si>
  <si>
    <t>M1005</t>
  </si>
  <si>
    <t>Movie_5</t>
  </si>
  <si>
    <t>Comedy</t>
  </si>
  <si>
    <t>M1006</t>
  </si>
  <si>
    <t>Movie_6</t>
  </si>
  <si>
    <t>M1007</t>
  </si>
  <si>
    <t>Movie_7</t>
  </si>
  <si>
    <t>M1025</t>
  </si>
  <si>
    <t>M1008</t>
  </si>
  <si>
    <t>Movie_8</t>
  </si>
  <si>
    <t>M1009</t>
  </si>
  <si>
    <t>Movie_9</t>
  </si>
  <si>
    <t>M1010</t>
  </si>
  <si>
    <t>Movie_10</t>
  </si>
  <si>
    <t>Duration_minutes</t>
  </si>
  <si>
    <t>M1011</t>
  </si>
  <si>
    <t>Movie_11</t>
  </si>
  <si>
    <t>Movie_25</t>
  </si>
  <si>
    <t>M1012</t>
  </si>
  <si>
    <t>Movie_12</t>
  </si>
  <si>
    <t>Sci-Fi</t>
  </si>
  <si>
    <t>M1013</t>
  </si>
  <si>
    <t>Movie_13</t>
  </si>
  <si>
    <t>German</t>
  </si>
  <si>
    <t>M1014</t>
  </si>
  <si>
    <t>Movie_14</t>
  </si>
  <si>
    <t>Released_Year</t>
  </si>
  <si>
    <t>M1015</t>
  </si>
  <si>
    <t>Movie_15</t>
  </si>
  <si>
    <t>Thriller</t>
  </si>
  <si>
    <t>M1016</t>
  </si>
  <si>
    <t>Movie_16</t>
  </si>
  <si>
    <t>M1017</t>
  </si>
  <si>
    <t>Movie_17</t>
  </si>
  <si>
    <t>M1018</t>
  </si>
  <si>
    <t>Movie_18</t>
  </si>
  <si>
    <t>M1019</t>
  </si>
  <si>
    <t>Movie_19</t>
  </si>
  <si>
    <t>M1020</t>
  </si>
  <si>
    <t>Movie_20</t>
  </si>
  <si>
    <t>M1021</t>
  </si>
  <si>
    <t>Movie_21</t>
  </si>
  <si>
    <t>M1022</t>
  </si>
  <si>
    <t>Movie_22</t>
  </si>
  <si>
    <t>M1023</t>
  </si>
  <si>
    <t>Movie_23</t>
  </si>
  <si>
    <t>M1024</t>
  </si>
  <si>
    <t>Movie_24</t>
  </si>
  <si>
    <t>M1026</t>
  </si>
  <si>
    <t>Movie_26</t>
  </si>
  <si>
    <t>M1027</t>
  </si>
  <si>
    <t>Movie_27</t>
  </si>
  <si>
    <t>M1028</t>
  </si>
  <si>
    <t>Movie_28</t>
  </si>
  <si>
    <t>M1029</t>
  </si>
  <si>
    <t>Movie_29</t>
  </si>
  <si>
    <t>M1030</t>
  </si>
  <si>
    <t>Movie_30</t>
  </si>
  <si>
    <t>M1031</t>
  </si>
  <si>
    <t>Movie_31</t>
  </si>
  <si>
    <t>M1032</t>
  </si>
  <si>
    <t>Movie_32</t>
  </si>
  <si>
    <t>M1033</t>
  </si>
  <si>
    <t>Movie_33</t>
  </si>
  <si>
    <t>M1034</t>
  </si>
  <si>
    <t>Movie_34</t>
  </si>
  <si>
    <t>M1035</t>
  </si>
  <si>
    <t>Movie_35</t>
  </si>
  <si>
    <t>M1036</t>
  </si>
  <si>
    <t>Movie_36</t>
  </si>
  <si>
    <t>M1037</t>
  </si>
  <si>
    <t>Movie_37</t>
  </si>
  <si>
    <t>M1038</t>
  </si>
  <si>
    <t>Movie_38</t>
  </si>
  <si>
    <t>M1039</t>
  </si>
  <si>
    <t>Movie_39</t>
  </si>
  <si>
    <t>M1040</t>
  </si>
  <si>
    <t>Movie_40</t>
  </si>
  <si>
    <t>M1041</t>
  </si>
  <si>
    <t>Movie_41</t>
  </si>
  <si>
    <t>M1042</t>
  </si>
  <si>
    <t>Movie_42</t>
  </si>
  <si>
    <t>M1043</t>
  </si>
  <si>
    <t>Movie_43</t>
  </si>
  <si>
    <t>M1044</t>
  </si>
  <si>
    <t>Movie_44</t>
  </si>
  <si>
    <t>M1045</t>
  </si>
  <si>
    <t>Movie_45</t>
  </si>
  <si>
    <t>M1046</t>
  </si>
  <si>
    <t>Movie_46</t>
  </si>
  <si>
    <t>M1047</t>
  </si>
  <si>
    <t>Movie_47</t>
  </si>
  <si>
    <t>M1048</t>
  </si>
  <si>
    <t>Movie_48</t>
  </si>
  <si>
    <t>M1049</t>
  </si>
  <si>
    <t>Movie_49</t>
  </si>
  <si>
    <t>M1050</t>
  </si>
  <si>
    <t>Movie_50</t>
  </si>
  <si>
    <t>M1051</t>
  </si>
  <si>
    <t>Movie_51</t>
  </si>
  <si>
    <t>M1052</t>
  </si>
  <si>
    <t>Movie_52</t>
  </si>
  <si>
    <t>M1053</t>
  </si>
  <si>
    <t>Movie_53</t>
  </si>
  <si>
    <t>M1054</t>
  </si>
  <si>
    <t>Movie_54</t>
  </si>
  <si>
    <t>M1055</t>
  </si>
  <si>
    <t>Movie_55</t>
  </si>
  <si>
    <t>M1056</t>
  </si>
  <si>
    <t>Movie_56</t>
  </si>
  <si>
    <t>M1057</t>
  </si>
  <si>
    <t>Movie_57</t>
  </si>
  <si>
    <t>M1058</t>
  </si>
  <si>
    <t>Movie_58</t>
  </si>
  <si>
    <t>M1059</t>
  </si>
  <si>
    <t>Movie_59</t>
  </si>
  <si>
    <t>M1060</t>
  </si>
  <si>
    <t>Movie_60</t>
  </si>
  <si>
    <t>M1061</t>
  </si>
  <si>
    <t>Movie_61</t>
  </si>
  <si>
    <t>M1062</t>
  </si>
  <si>
    <t>Movie_62</t>
  </si>
  <si>
    <t>M1063</t>
  </si>
  <si>
    <t>Movie_63</t>
  </si>
  <si>
    <t>M1064</t>
  </si>
  <si>
    <t>Movie_64</t>
  </si>
  <si>
    <t>M1065</t>
  </si>
  <si>
    <t>Movie_65</t>
  </si>
  <si>
    <t>M1066</t>
  </si>
  <si>
    <t>Movie_66</t>
  </si>
  <si>
    <t>M1067</t>
  </si>
  <si>
    <t>Movie_67</t>
  </si>
  <si>
    <t>M1068</t>
  </si>
  <si>
    <t>Movie_68</t>
  </si>
  <si>
    <t>M1069</t>
  </si>
  <si>
    <t>Movie_69</t>
  </si>
  <si>
    <t>M1070</t>
  </si>
  <si>
    <t>Movie_70</t>
  </si>
  <si>
    <t>M1071</t>
  </si>
  <si>
    <t>Movie_71</t>
  </si>
  <si>
    <t>M1072</t>
  </si>
  <si>
    <t>Movie_72</t>
  </si>
  <si>
    <t>M1073</t>
  </si>
  <si>
    <t>Movie_73</t>
  </si>
  <si>
    <t>M1074</t>
  </si>
  <si>
    <t>Movie_74</t>
  </si>
  <si>
    <t>M1075</t>
  </si>
  <si>
    <t>Movie_75</t>
  </si>
  <si>
    <t>M1076</t>
  </si>
  <si>
    <t>Movie_76</t>
  </si>
  <si>
    <t>M1077</t>
  </si>
  <si>
    <t>Movie_77</t>
  </si>
  <si>
    <t>M1078</t>
  </si>
  <si>
    <t>Movie_78</t>
  </si>
  <si>
    <t>M1079</t>
  </si>
  <si>
    <t>Movie_79</t>
  </si>
  <si>
    <t>M1080</t>
  </si>
  <si>
    <t>Movie_80</t>
  </si>
  <si>
    <t>M1081</t>
  </si>
  <si>
    <t>Movie_81</t>
  </si>
  <si>
    <t>M1082</t>
  </si>
  <si>
    <t>Movie_82</t>
  </si>
  <si>
    <t>M1083</t>
  </si>
  <si>
    <t>Movie_83</t>
  </si>
  <si>
    <t>M1084</t>
  </si>
  <si>
    <t>Movie_84</t>
  </si>
  <si>
    <t>M1085</t>
  </si>
  <si>
    <t>Movie_85</t>
  </si>
  <si>
    <t>M1086</t>
  </si>
  <si>
    <t>Movie_86</t>
  </si>
  <si>
    <t>M1087</t>
  </si>
  <si>
    <t>Movie_87</t>
  </si>
  <si>
    <t>M1088</t>
  </si>
  <si>
    <t>Movie_88</t>
  </si>
  <si>
    <t>M1089</t>
  </si>
  <si>
    <t>Movie_89</t>
  </si>
  <si>
    <t>M1090</t>
  </si>
  <si>
    <t>Movie_90</t>
  </si>
  <si>
    <t>M1091</t>
  </si>
  <si>
    <t>Movie_91</t>
  </si>
  <si>
    <t>M1092</t>
  </si>
  <si>
    <t>Movie_92</t>
  </si>
  <si>
    <t>M1093</t>
  </si>
  <si>
    <t>Movie_93</t>
  </si>
  <si>
    <t>M1094</t>
  </si>
  <si>
    <t>Movie_94</t>
  </si>
  <si>
    <t>M1095</t>
  </si>
  <si>
    <t>Movie_95</t>
  </si>
  <si>
    <t>M1096</t>
  </si>
  <si>
    <t>Movie_96</t>
  </si>
  <si>
    <t>M1097</t>
  </si>
  <si>
    <t>Movie_97</t>
  </si>
  <si>
    <t>M1098</t>
  </si>
  <si>
    <t>Movie_98</t>
  </si>
  <si>
    <t>M1099</t>
  </si>
  <si>
    <t>Movie_99</t>
  </si>
  <si>
    <t>M1100</t>
  </si>
  <si>
    <t>Movie_100</t>
  </si>
  <si>
    <t>M1101</t>
  </si>
  <si>
    <t>Movie_101</t>
  </si>
  <si>
    <t>M1102</t>
  </si>
  <si>
    <t>Movie_102</t>
  </si>
  <si>
    <t>M1103</t>
  </si>
  <si>
    <t>Movie_103</t>
  </si>
  <si>
    <t>M1104</t>
  </si>
  <si>
    <t>Movie_104</t>
  </si>
  <si>
    <t>M1105</t>
  </si>
  <si>
    <t>Movie_105</t>
  </si>
  <si>
    <t>M1106</t>
  </si>
  <si>
    <t>Movie_106</t>
  </si>
  <si>
    <t>M1107</t>
  </si>
  <si>
    <t>Movie_107</t>
  </si>
  <si>
    <t>M1108</t>
  </si>
  <si>
    <t>Movie_108</t>
  </si>
  <si>
    <t>M1109</t>
  </si>
  <si>
    <t>Movie_109</t>
  </si>
  <si>
    <t>M1110</t>
  </si>
  <si>
    <t>Movie_110</t>
  </si>
  <si>
    <t>M1111</t>
  </si>
  <si>
    <t>Movie_111</t>
  </si>
  <si>
    <t>M1112</t>
  </si>
  <si>
    <t>Movie_112</t>
  </si>
  <si>
    <t>M1113</t>
  </si>
  <si>
    <t>Movie_113</t>
  </si>
  <si>
    <t>M1114</t>
  </si>
  <si>
    <t>Movie_114</t>
  </si>
  <si>
    <t>M1115</t>
  </si>
  <si>
    <t>Movie_115</t>
  </si>
  <si>
    <t>M1116</t>
  </si>
  <si>
    <t>Movie_116</t>
  </si>
  <si>
    <t>M1117</t>
  </si>
  <si>
    <t>Movie_117</t>
  </si>
  <si>
    <t>M1118</t>
  </si>
  <si>
    <t>Movie_118</t>
  </si>
  <si>
    <t>M1119</t>
  </si>
  <si>
    <t>Movie_119</t>
  </si>
  <si>
    <t>M1120</t>
  </si>
  <si>
    <t>Movie_120</t>
  </si>
  <si>
    <t>M1121</t>
  </si>
  <si>
    <t>Movie_121</t>
  </si>
  <si>
    <t>M1122</t>
  </si>
  <si>
    <t>Movie_122</t>
  </si>
  <si>
    <t>M1123</t>
  </si>
  <si>
    <t>Movie_123</t>
  </si>
  <si>
    <t>M1124</t>
  </si>
  <si>
    <t>Movie_124</t>
  </si>
  <si>
    <t>M1125</t>
  </si>
  <si>
    <t>Movie_125</t>
  </si>
  <si>
    <t>M1126</t>
  </si>
  <si>
    <t>Movie_126</t>
  </si>
  <si>
    <t>M1127</t>
  </si>
  <si>
    <t>Movie_127</t>
  </si>
  <si>
    <t>M1128</t>
  </si>
  <si>
    <t>Movie_128</t>
  </si>
  <si>
    <t>M1129</t>
  </si>
  <si>
    <t>Movie_129</t>
  </si>
  <si>
    <t>M1130</t>
  </si>
  <si>
    <t>Movie_130</t>
  </si>
  <si>
    <t>M1131</t>
  </si>
  <si>
    <t>Movie_131</t>
  </si>
  <si>
    <t>M1132</t>
  </si>
  <si>
    <t>Movie_132</t>
  </si>
  <si>
    <t>M1133</t>
  </si>
  <si>
    <t>Movie_133</t>
  </si>
  <si>
    <t>M1134</t>
  </si>
  <si>
    <t>Movie_134</t>
  </si>
  <si>
    <t>M1135</t>
  </si>
  <si>
    <t>Movie_135</t>
  </si>
  <si>
    <t>M1136</t>
  </si>
  <si>
    <t>Movie_136</t>
  </si>
  <si>
    <t>M1137</t>
  </si>
  <si>
    <t>Movie_137</t>
  </si>
  <si>
    <t>M1138</t>
  </si>
  <si>
    <t>Movie_138</t>
  </si>
  <si>
    <t>M1139</t>
  </si>
  <si>
    <t>Movie_139</t>
  </si>
  <si>
    <t>M1140</t>
  </si>
  <si>
    <t>Movie_140</t>
  </si>
  <si>
    <t>M1141</t>
  </si>
  <si>
    <t>Movie_141</t>
  </si>
  <si>
    <t>M1142</t>
  </si>
  <si>
    <t>Movie_142</t>
  </si>
  <si>
    <t>M1143</t>
  </si>
  <si>
    <t>Movie_143</t>
  </si>
  <si>
    <t>M1144</t>
  </si>
  <si>
    <t>Movie_144</t>
  </si>
  <si>
    <t>M1145</t>
  </si>
  <si>
    <t>Movie_145</t>
  </si>
  <si>
    <t>M1146</t>
  </si>
  <si>
    <t>Movie_146</t>
  </si>
  <si>
    <t>M1147</t>
  </si>
  <si>
    <t>Movie_147</t>
  </si>
  <si>
    <t>M1148</t>
  </si>
  <si>
    <t>Movie_148</t>
  </si>
  <si>
    <t>M1149</t>
  </si>
  <si>
    <t>Movie_149</t>
  </si>
  <si>
    <t>M1150</t>
  </si>
  <si>
    <t>Movie_150</t>
  </si>
  <si>
    <t>M1151</t>
  </si>
  <si>
    <t>Movie_151</t>
  </si>
  <si>
    <t>M1152</t>
  </si>
  <si>
    <t>Movie_152</t>
  </si>
  <si>
    <t>M1153</t>
  </si>
  <si>
    <t>Movie_153</t>
  </si>
  <si>
    <t>M1154</t>
  </si>
  <si>
    <t>Movie_154</t>
  </si>
  <si>
    <t>M1155</t>
  </si>
  <si>
    <t>Movie_155</t>
  </si>
  <si>
    <t>M1156</t>
  </si>
  <si>
    <t>Movie_156</t>
  </si>
  <si>
    <t>M1157</t>
  </si>
  <si>
    <t>Movie_157</t>
  </si>
  <si>
    <t>M1158</t>
  </si>
  <si>
    <t>Movie_158</t>
  </si>
  <si>
    <t>M1159</t>
  </si>
  <si>
    <t>Movie_159</t>
  </si>
  <si>
    <t>M1160</t>
  </si>
  <si>
    <t>Movie_160</t>
  </si>
  <si>
    <t>M1161</t>
  </si>
  <si>
    <t>Movie_161</t>
  </si>
  <si>
    <t>M1162</t>
  </si>
  <si>
    <t>Movie_162</t>
  </si>
  <si>
    <t>M1163</t>
  </si>
  <si>
    <t>Movie_163</t>
  </si>
  <si>
    <t>M1164</t>
  </si>
  <si>
    <t>Movie_164</t>
  </si>
  <si>
    <t>M1165</t>
  </si>
  <si>
    <t>Movie_165</t>
  </si>
  <si>
    <t>M1166</t>
  </si>
  <si>
    <t>Movie_166</t>
  </si>
  <si>
    <t>M1167</t>
  </si>
  <si>
    <t>Movie_167</t>
  </si>
  <si>
    <t>M1168</t>
  </si>
  <si>
    <t>Movie_168</t>
  </si>
  <si>
    <t>M1169</t>
  </si>
  <si>
    <t>Movie_169</t>
  </si>
  <si>
    <t>M1170</t>
  </si>
  <si>
    <t>Movie_170</t>
  </si>
  <si>
    <t>M1171</t>
  </si>
  <si>
    <t>Movie_171</t>
  </si>
  <si>
    <t>M1172</t>
  </si>
  <si>
    <t>Movie_172</t>
  </si>
  <si>
    <t>M1173</t>
  </si>
  <si>
    <t>Movie_173</t>
  </si>
  <si>
    <t>M1174</t>
  </si>
  <si>
    <t>Movie_174</t>
  </si>
  <si>
    <t>M1175</t>
  </si>
  <si>
    <t>Movie_175</t>
  </si>
  <si>
    <t>M1176</t>
  </si>
  <si>
    <t>Movie_176</t>
  </si>
  <si>
    <t>M1177</t>
  </si>
  <si>
    <t>Movie_177</t>
  </si>
  <si>
    <t>M1178</t>
  </si>
  <si>
    <t>Movie_178</t>
  </si>
  <si>
    <t>M1179</t>
  </si>
  <si>
    <t>Movie_179</t>
  </si>
  <si>
    <t>M1180</t>
  </si>
  <si>
    <t>Movie_180</t>
  </si>
  <si>
    <t>M1181</t>
  </si>
  <si>
    <t>Movie_181</t>
  </si>
  <si>
    <t>M1182</t>
  </si>
  <si>
    <t>Movie_182</t>
  </si>
  <si>
    <t>M1183</t>
  </si>
  <si>
    <t>Movie_183</t>
  </si>
  <si>
    <t>M1184</t>
  </si>
  <si>
    <t>Movie_184</t>
  </si>
  <si>
    <t>M1185</t>
  </si>
  <si>
    <t>Movie_185</t>
  </si>
  <si>
    <t>M1186</t>
  </si>
  <si>
    <t>Movie_186</t>
  </si>
  <si>
    <t>M1187</t>
  </si>
  <si>
    <t>Movie_187</t>
  </si>
  <si>
    <t>M1188</t>
  </si>
  <si>
    <t>Movie_188</t>
  </si>
  <si>
    <t>M1189</t>
  </si>
  <si>
    <t>Movie_189</t>
  </si>
  <si>
    <t>M1190</t>
  </si>
  <si>
    <t>Movie_190</t>
  </si>
  <si>
    <t>M1191</t>
  </si>
  <si>
    <t>Movie_191</t>
  </si>
  <si>
    <t>M1192</t>
  </si>
  <si>
    <t>Movie_192</t>
  </si>
  <si>
    <t>M1193</t>
  </si>
  <si>
    <t>Movie_193</t>
  </si>
  <si>
    <t>M1194</t>
  </si>
  <si>
    <t>Movie_194</t>
  </si>
  <si>
    <t>M1195</t>
  </si>
  <si>
    <t>Movie_195</t>
  </si>
  <si>
    <t>M1196</t>
  </si>
  <si>
    <t>Movie_196</t>
  </si>
  <si>
    <t>M1197</t>
  </si>
  <si>
    <t>Movie_197</t>
  </si>
  <si>
    <t>M1198</t>
  </si>
  <si>
    <t>Movie_198</t>
  </si>
  <si>
    <t>M1199</t>
  </si>
  <si>
    <t>Movie_199</t>
  </si>
  <si>
    <t>M1200</t>
  </si>
  <si>
    <t>Movie_200</t>
  </si>
  <si>
    <t>M1201</t>
  </si>
  <si>
    <t>Movie_201</t>
  </si>
  <si>
    <t>M1202</t>
  </si>
  <si>
    <t>Movie_202</t>
  </si>
  <si>
    <t>M1203</t>
  </si>
  <si>
    <t>Movie_203</t>
  </si>
  <si>
    <t>M1204</t>
  </si>
  <si>
    <t>Movie_204</t>
  </si>
  <si>
    <t>M1205</t>
  </si>
  <si>
    <t>Movie_205</t>
  </si>
  <si>
    <t>M1206</t>
  </si>
  <si>
    <t>Movie_206</t>
  </si>
  <si>
    <t>M1207</t>
  </si>
  <si>
    <t>Movie_207</t>
  </si>
  <si>
    <t>M1208</t>
  </si>
  <si>
    <t>Movie_208</t>
  </si>
  <si>
    <t>M1209</t>
  </si>
  <si>
    <t>Movie_209</t>
  </si>
  <si>
    <t>M1210</t>
  </si>
  <si>
    <t>Movie_210</t>
  </si>
  <si>
    <t>M1211</t>
  </si>
  <si>
    <t>Movie_211</t>
  </si>
  <si>
    <t>M1212</t>
  </si>
  <si>
    <t>Movie_212</t>
  </si>
  <si>
    <t>M1213</t>
  </si>
  <si>
    <t>Movie_213</t>
  </si>
  <si>
    <t>M1214</t>
  </si>
  <si>
    <t>Movie_214</t>
  </si>
  <si>
    <t>M1215</t>
  </si>
  <si>
    <t>Movie_215</t>
  </si>
  <si>
    <t>M1216</t>
  </si>
  <si>
    <t>Movie_216</t>
  </si>
  <si>
    <t>M1217</t>
  </si>
  <si>
    <t>Movie_217</t>
  </si>
  <si>
    <t>M1218</t>
  </si>
  <si>
    <t>Movie_218</t>
  </si>
  <si>
    <t>M1219</t>
  </si>
  <si>
    <t>Movie_219</t>
  </si>
  <si>
    <t>M1220</t>
  </si>
  <si>
    <t>Movie_220</t>
  </si>
  <si>
    <t>M1221</t>
  </si>
  <si>
    <t>Movie_221</t>
  </si>
  <si>
    <t>M1222</t>
  </si>
  <si>
    <t>Movie_222</t>
  </si>
  <si>
    <t>M1223</t>
  </si>
  <si>
    <t>Movie_223</t>
  </si>
  <si>
    <t>M1224</t>
  </si>
  <si>
    <t>Movie_224</t>
  </si>
  <si>
    <t>M1225</t>
  </si>
  <si>
    <t>Movie_225</t>
  </si>
  <si>
    <t>M1226</t>
  </si>
  <si>
    <t>Movie_226</t>
  </si>
  <si>
    <t>M1227</t>
  </si>
  <si>
    <t>Movie_227</t>
  </si>
  <si>
    <t>M1228</t>
  </si>
  <si>
    <t>Movie_228</t>
  </si>
  <si>
    <t>M1229</t>
  </si>
  <si>
    <t>Movie_229</t>
  </si>
  <si>
    <t>M1230</t>
  </si>
  <si>
    <t>Movie_230</t>
  </si>
  <si>
    <t>M1231</t>
  </si>
  <si>
    <t>Movie_231</t>
  </si>
  <si>
    <t>M1232</t>
  </si>
  <si>
    <t>Movie_232</t>
  </si>
  <si>
    <t>M1233</t>
  </si>
  <si>
    <t>Movie_233</t>
  </si>
  <si>
    <t>M1234</t>
  </si>
  <si>
    <t>Movie_234</t>
  </si>
  <si>
    <t>M1235</t>
  </si>
  <si>
    <t>Movie_235</t>
  </si>
  <si>
    <t>M1236</t>
  </si>
  <si>
    <t>Movie_236</t>
  </si>
  <si>
    <t>M1237</t>
  </si>
  <si>
    <t>Movie_237</t>
  </si>
  <si>
    <t>M1238</t>
  </si>
  <si>
    <t>Movie_238</t>
  </si>
  <si>
    <t>M1239</t>
  </si>
  <si>
    <t>Movie_239</t>
  </si>
  <si>
    <t>M1240</t>
  </si>
  <si>
    <t>Movie_240</t>
  </si>
  <si>
    <t>M1241</t>
  </si>
  <si>
    <t>Movie_241</t>
  </si>
  <si>
    <t>M1242</t>
  </si>
  <si>
    <t>Movie_242</t>
  </si>
  <si>
    <t>M1243</t>
  </si>
  <si>
    <t>Movie_243</t>
  </si>
  <si>
    <t>M1244</t>
  </si>
  <si>
    <t>Movie_244</t>
  </si>
  <si>
    <t>M1245</t>
  </si>
  <si>
    <t>Movie_245</t>
  </si>
  <si>
    <t>M1246</t>
  </si>
  <si>
    <t>Movie_246</t>
  </si>
  <si>
    <t>M1247</t>
  </si>
  <si>
    <t>Movie_247</t>
  </si>
  <si>
    <t>M1248</t>
  </si>
  <si>
    <t>Movie_248</t>
  </si>
  <si>
    <t>M1249</t>
  </si>
  <si>
    <t>Movie_249</t>
  </si>
  <si>
    <t>M1250</t>
  </si>
  <si>
    <t>Movie_250</t>
  </si>
  <si>
    <t>M1251</t>
  </si>
  <si>
    <t>Movie_251</t>
  </si>
  <si>
    <t>M1252</t>
  </si>
  <si>
    <t>Movie_252</t>
  </si>
  <si>
    <t>M1253</t>
  </si>
  <si>
    <t>Movie_253</t>
  </si>
  <si>
    <t>M1254</t>
  </si>
  <si>
    <t>Movie_254</t>
  </si>
  <si>
    <t>M1255</t>
  </si>
  <si>
    <t>Movie_255</t>
  </si>
  <si>
    <t>M1256</t>
  </si>
  <si>
    <t>Movie_256</t>
  </si>
  <si>
    <t>M1257</t>
  </si>
  <si>
    <t>Movie_257</t>
  </si>
  <si>
    <t>M1258</t>
  </si>
  <si>
    <t>Movie_258</t>
  </si>
  <si>
    <t>M1259</t>
  </si>
  <si>
    <t>Movie_259</t>
  </si>
  <si>
    <t>M1260</t>
  </si>
  <si>
    <t>Movie_260</t>
  </si>
  <si>
    <t>M1261</t>
  </si>
  <si>
    <t>Movie_261</t>
  </si>
  <si>
    <t>M1262</t>
  </si>
  <si>
    <t>Movie_262</t>
  </si>
  <si>
    <t>M1263</t>
  </si>
  <si>
    <t>Movie_263</t>
  </si>
  <si>
    <t>M1264</t>
  </si>
  <si>
    <t>Movie_264</t>
  </si>
  <si>
    <t>M1265</t>
  </si>
  <si>
    <t>Movie_265</t>
  </si>
  <si>
    <t>M1266</t>
  </si>
  <si>
    <t>Movie_266</t>
  </si>
  <si>
    <t>M1267</t>
  </si>
  <si>
    <t>Movie_267</t>
  </si>
  <si>
    <t>M1268</t>
  </si>
  <si>
    <t>Movie_268</t>
  </si>
  <si>
    <t>M1269</t>
  </si>
  <si>
    <t>Movie_269</t>
  </si>
  <si>
    <t>M1270</t>
  </si>
  <si>
    <t>Movie_270</t>
  </si>
  <si>
    <t>M1271</t>
  </si>
  <si>
    <t>Movie_271</t>
  </si>
  <si>
    <t>M1272</t>
  </si>
  <si>
    <t>Movie_272</t>
  </si>
  <si>
    <t>M1273</t>
  </si>
  <si>
    <t>Movie_273</t>
  </si>
  <si>
    <t>M1274</t>
  </si>
  <si>
    <t>Movie_274</t>
  </si>
  <si>
    <t>M1275</t>
  </si>
  <si>
    <t>Movie_275</t>
  </si>
  <si>
    <t>M1276</t>
  </si>
  <si>
    <t>Movie_276</t>
  </si>
  <si>
    <t>M1277</t>
  </si>
  <si>
    <t>Movie_277</t>
  </si>
  <si>
    <t>M1278</t>
  </si>
  <si>
    <t>Movie_278</t>
  </si>
  <si>
    <t>M1279</t>
  </si>
  <si>
    <t>Movie_279</t>
  </si>
  <si>
    <t>M1280</t>
  </si>
  <si>
    <t>Movie_280</t>
  </si>
  <si>
    <t>M1281</t>
  </si>
  <si>
    <t>Movie_281</t>
  </si>
  <si>
    <t>M1282</t>
  </si>
  <si>
    <t>Movie_282</t>
  </si>
  <si>
    <t>M1283</t>
  </si>
  <si>
    <t>Movie_283</t>
  </si>
  <si>
    <t>M1284</t>
  </si>
  <si>
    <t>Movie_284</t>
  </si>
  <si>
    <t>M1285</t>
  </si>
  <si>
    <t>Movie_285</t>
  </si>
  <si>
    <t>M1286</t>
  </si>
  <si>
    <t>Movie_286</t>
  </si>
  <si>
    <t>M1287</t>
  </si>
  <si>
    <t>Movie_287</t>
  </si>
  <si>
    <t>M1288</t>
  </si>
  <si>
    <t>Movie_288</t>
  </si>
  <si>
    <t>M1289</t>
  </si>
  <si>
    <t>Movie_289</t>
  </si>
  <si>
    <t>M1290</t>
  </si>
  <si>
    <t>Movie_290</t>
  </si>
  <si>
    <t>M1291</t>
  </si>
  <si>
    <t>Movie_291</t>
  </si>
  <si>
    <t>M1292</t>
  </si>
  <si>
    <t>Movie_292</t>
  </si>
  <si>
    <t>M1293</t>
  </si>
  <si>
    <t>Movie_293</t>
  </si>
  <si>
    <t>M1294</t>
  </si>
  <si>
    <t>Movie_294</t>
  </si>
  <si>
    <t>M1295</t>
  </si>
  <si>
    <t>Movie_295</t>
  </si>
  <si>
    <t>M1296</t>
  </si>
  <si>
    <t>Movie_296</t>
  </si>
  <si>
    <t>M1297</t>
  </si>
  <si>
    <t>Movie_297</t>
  </si>
  <si>
    <t>M1298</t>
  </si>
  <si>
    <t>Movie_298</t>
  </si>
  <si>
    <t>M1299</t>
  </si>
  <si>
    <t>Movie_299</t>
  </si>
  <si>
    <t>M1300</t>
  </si>
  <si>
    <t>Movie_300</t>
  </si>
  <si>
    <t>M1301</t>
  </si>
  <si>
    <t>Movie_301</t>
  </si>
  <si>
    <t>M1302</t>
  </si>
  <si>
    <t>Movie_302</t>
  </si>
  <si>
    <t>M1303</t>
  </si>
  <si>
    <t>Movie_303</t>
  </si>
  <si>
    <t>M1304</t>
  </si>
  <si>
    <t>Movie_304</t>
  </si>
  <si>
    <t>M1305</t>
  </si>
  <si>
    <t>Movie_305</t>
  </si>
  <si>
    <t>M1306</t>
  </si>
  <si>
    <t>Movie_306</t>
  </si>
  <si>
    <t>M1307</t>
  </si>
  <si>
    <t>Movie_307</t>
  </si>
  <si>
    <t>M1308</t>
  </si>
  <si>
    <t>Movie_308</t>
  </si>
  <si>
    <t>M1309</t>
  </si>
  <si>
    <t>Movie_309</t>
  </si>
  <si>
    <t>M1310</t>
  </si>
  <si>
    <t>Movie_310</t>
  </si>
  <si>
    <t>M1311</t>
  </si>
  <si>
    <t>Movie_311</t>
  </si>
  <si>
    <t>M1312</t>
  </si>
  <si>
    <t>Movie_312</t>
  </si>
  <si>
    <t>M1313</t>
  </si>
  <si>
    <t>Movie_313</t>
  </si>
  <si>
    <t>M1314</t>
  </si>
  <si>
    <t>Movie_314</t>
  </si>
  <si>
    <t>M1315</t>
  </si>
  <si>
    <t>Movie_315</t>
  </si>
  <si>
    <t>M1316</t>
  </si>
  <si>
    <t>Movie_316</t>
  </si>
  <si>
    <t>M1317</t>
  </si>
  <si>
    <t>Movie_317</t>
  </si>
  <si>
    <t>M1318</t>
  </si>
  <si>
    <t>Movie_318</t>
  </si>
  <si>
    <t>M1319</t>
  </si>
  <si>
    <t>Movie_319</t>
  </si>
  <si>
    <t>M1320</t>
  </si>
  <si>
    <t>Movie_320</t>
  </si>
  <si>
    <t>M1321</t>
  </si>
  <si>
    <t>Movie_321</t>
  </si>
  <si>
    <t>M1322</t>
  </si>
  <si>
    <t>Movie_322</t>
  </si>
  <si>
    <t>M1323</t>
  </si>
  <si>
    <t>Movie_323</t>
  </si>
  <si>
    <t>M1324</t>
  </si>
  <si>
    <t>Movie_324</t>
  </si>
  <si>
    <t>M1325</t>
  </si>
  <si>
    <t>Movie_325</t>
  </si>
  <si>
    <t>M1326</t>
  </si>
  <si>
    <t>Movie_326</t>
  </si>
  <si>
    <t>M1327</t>
  </si>
  <si>
    <t>Movie_327</t>
  </si>
  <si>
    <t>M1328</t>
  </si>
  <si>
    <t>Movie_328</t>
  </si>
  <si>
    <t>M1329</t>
  </si>
  <si>
    <t>Movie_329</t>
  </si>
  <si>
    <t>M1330</t>
  </si>
  <si>
    <t>Movie_330</t>
  </si>
  <si>
    <t>M1331</t>
  </si>
  <si>
    <t>Movie_331</t>
  </si>
  <si>
    <t>M1332</t>
  </si>
  <si>
    <t>Movie_332</t>
  </si>
  <si>
    <t>M1333</t>
  </si>
  <si>
    <t>Movie_333</t>
  </si>
  <si>
    <t>M1334</t>
  </si>
  <si>
    <t>Movie_334</t>
  </si>
  <si>
    <t>M1335</t>
  </si>
  <si>
    <t>Movie_335</t>
  </si>
  <si>
    <t>M1336</t>
  </si>
  <si>
    <t>Movie_336</t>
  </si>
  <si>
    <t>M1337</t>
  </si>
  <si>
    <t>Movie_337</t>
  </si>
  <si>
    <t>M1338</t>
  </si>
  <si>
    <t>Movie_338</t>
  </si>
  <si>
    <t>M1339</t>
  </si>
  <si>
    <t>Movie_339</t>
  </si>
  <si>
    <t>M1340</t>
  </si>
  <si>
    <t>Movie_340</t>
  </si>
  <si>
    <t>M1341</t>
  </si>
  <si>
    <t>Movie_341</t>
  </si>
  <si>
    <t>M1342</t>
  </si>
  <si>
    <t>Movie_342</t>
  </si>
  <si>
    <t>M1343</t>
  </si>
  <si>
    <t>Movie_343</t>
  </si>
  <si>
    <t>M1344</t>
  </si>
  <si>
    <t>Movie_344</t>
  </si>
  <si>
    <t>M1345</t>
  </si>
  <si>
    <t>Movie_345</t>
  </si>
  <si>
    <t>M1346</t>
  </si>
  <si>
    <t>Movie_346</t>
  </si>
  <si>
    <t>M1347</t>
  </si>
  <si>
    <t>Movie_347</t>
  </si>
  <si>
    <t>M1348</t>
  </si>
  <si>
    <t>Movie_348</t>
  </si>
  <si>
    <t>M1349</t>
  </si>
  <si>
    <t>Movie_349</t>
  </si>
  <si>
    <t>M1350</t>
  </si>
  <si>
    <t>Movie_350</t>
  </si>
  <si>
    <t>M1351</t>
  </si>
  <si>
    <t>Movie_351</t>
  </si>
  <si>
    <t>M1352</t>
  </si>
  <si>
    <t>Movie_352</t>
  </si>
  <si>
    <t>M1353</t>
  </si>
  <si>
    <t>Movie_353</t>
  </si>
  <si>
    <t>M1354</t>
  </si>
  <si>
    <t>Movie_354</t>
  </si>
  <si>
    <t>M1355</t>
  </si>
  <si>
    <t>Movie_355</t>
  </si>
  <si>
    <t>M1356</t>
  </si>
  <si>
    <t>Movie_356</t>
  </si>
  <si>
    <t>M1357</t>
  </si>
  <si>
    <t>Movie_357</t>
  </si>
  <si>
    <t>M1358</t>
  </si>
  <si>
    <t>Movie_358</t>
  </si>
  <si>
    <t>M1359</t>
  </si>
  <si>
    <t>Movie_359</t>
  </si>
  <si>
    <t>M1360</t>
  </si>
  <si>
    <t>Movie_360</t>
  </si>
  <si>
    <t>M1361</t>
  </si>
  <si>
    <t>Movie_361</t>
  </si>
  <si>
    <t>M1362</t>
  </si>
  <si>
    <t>Movie_362</t>
  </si>
  <si>
    <t>M1363</t>
  </si>
  <si>
    <t>Movie_363</t>
  </si>
  <si>
    <t>M1364</t>
  </si>
  <si>
    <t>Movie_364</t>
  </si>
  <si>
    <t>M1365</t>
  </si>
  <si>
    <t>Movie_365</t>
  </si>
  <si>
    <t>M1366</t>
  </si>
  <si>
    <t>Movie_366</t>
  </si>
  <si>
    <t>M1367</t>
  </si>
  <si>
    <t>Movie_367</t>
  </si>
  <si>
    <t>M1368</t>
  </si>
  <si>
    <t>Movie_368</t>
  </si>
  <si>
    <t>M1369</t>
  </si>
  <si>
    <t>Movie_369</t>
  </si>
  <si>
    <t>M1370</t>
  </si>
  <si>
    <t>Movie_370</t>
  </si>
  <si>
    <t>M1371</t>
  </si>
  <si>
    <t>Movie_371</t>
  </si>
  <si>
    <t>M1372</t>
  </si>
  <si>
    <t>Movie_372</t>
  </si>
  <si>
    <t>M1373</t>
  </si>
  <si>
    <t>Movie_373</t>
  </si>
  <si>
    <t>M1374</t>
  </si>
  <si>
    <t>Movie_374</t>
  </si>
  <si>
    <t>M1375</t>
  </si>
  <si>
    <t>Movie_375</t>
  </si>
  <si>
    <t>M1376</t>
  </si>
  <si>
    <t>Movie_376</t>
  </si>
  <si>
    <t>M1377</t>
  </si>
  <si>
    <t>Movie_377</t>
  </si>
  <si>
    <t>M1378</t>
  </si>
  <si>
    <t>Movie_378</t>
  </si>
  <si>
    <t>M1379</t>
  </si>
  <si>
    <t>Movie_379</t>
  </si>
  <si>
    <t>M1380</t>
  </si>
  <si>
    <t>Movie_380</t>
  </si>
  <si>
    <t>M1381</t>
  </si>
  <si>
    <t>Movie_381</t>
  </si>
  <si>
    <t>M1382</t>
  </si>
  <si>
    <t>Movie_382</t>
  </si>
  <si>
    <t>M1383</t>
  </si>
  <si>
    <t>Movie_383</t>
  </si>
  <si>
    <t>M1384</t>
  </si>
  <si>
    <t>Movie_384</t>
  </si>
  <si>
    <t>M1385</t>
  </si>
  <si>
    <t>Movie_385</t>
  </si>
  <si>
    <t>M1386</t>
  </si>
  <si>
    <t>Movie_386</t>
  </si>
  <si>
    <t>M1387</t>
  </si>
  <si>
    <t>Movie_387</t>
  </si>
  <si>
    <t>M1388</t>
  </si>
  <si>
    <t>Movie_388</t>
  </si>
  <si>
    <t>M1389</t>
  </si>
  <si>
    <t>Movie_389</t>
  </si>
  <si>
    <t>M1390</t>
  </si>
  <si>
    <t>Movie_390</t>
  </si>
  <si>
    <t>M1391</t>
  </si>
  <si>
    <t>Movie_391</t>
  </si>
  <si>
    <t>M1392</t>
  </si>
  <si>
    <t>Movie_392</t>
  </si>
  <si>
    <t>M1393</t>
  </si>
  <si>
    <t>Movie_393</t>
  </si>
  <si>
    <t>M1394</t>
  </si>
  <si>
    <t>Movie_394</t>
  </si>
  <si>
    <t>M1395</t>
  </si>
  <si>
    <t>Movie_395</t>
  </si>
  <si>
    <t>M1396</t>
  </si>
  <si>
    <t>Movie_396</t>
  </si>
  <si>
    <t>M1397</t>
  </si>
  <si>
    <t>Movie_397</t>
  </si>
  <si>
    <t>M1398</t>
  </si>
  <si>
    <t>Movie_398</t>
  </si>
  <si>
    <t>M1399</t>
  </si>
  <si>
    <t>Movie_399</t>
  </si>
  <si>
    <t>M1400</t>
  </si>
  <si>
    <t>Movie_400</t>
  </si>
  <si>
    <t>M1401</t>
  </si>
  <si>
    <t>Movie_401</t>
  </si>
  <si>
    <t>M1402</t>
  </si>
  <si>
    <t>Movie_402</t>
  </si>
  <si>
    <t>M1403</t>
  </si>
  <si>
    <t>Movie_403</t>
  </si>
  <si>
    <t>M1404</t>
  </si>
  <si>
    <t>Movie_404</t>
  </si>
  <si>
    <t>M1405</t>
  </si>
  <si>
    <t>Movie_405</t>
  </si>
  <si>
    <t>M1406</t>
  </si>
  <si>
    <t>Movie_406</t>
  </si>
  <si>
    <t>M1407</t>
  </si>
  <si>
    <t>Movie_407</t>
  </si>
  <si>
    <t>M1408</t>
  </si>
  <si>
    <t>Movie_408</t>
  </si>
  <si>
    <t>M1409</t>
  </si>
  <si>
    <t>Movie_409</t>
  </si>
  <si>
    <t>M1410</t>
  </si>
  <si>
    <t>Movie_410</t>
  </si>
  <si>
    <t>M1411</t>
  </si>
  <si>
    <t>Movie_411</t>
  </si>
  <si>
    <t>M1412</t>
  </si>
  <si>
    <t>Movie_412</t>
  </si>
  <si>
    <t>M1413</t>
  </si>
  <si>
    <t>Movie_413</t>
  </si>
  <si>
    <t>M1414</t>
  </si>
  <si>
    <t>Movie_414</t>
  </si>
  <si>
    <t>M1415</t>
  </si>
  <si>
    <t>Movie_415</t>
  </si>
  <si>
    <t>M1416</t>
  </si>
  <si>
    <t>Movie_416</t>
  </si>
  <si>
    <t>M1417</t>
  </si>
  <si>
    <t>Movie_417</t>
  </si>
  <si>
    <t>M1418</t>
  </si>
  <si>
    <t>Movie_418</t>
  </si>
  <si>
    <t>M1419</t>
  </si>
  <si>
    <t>Movie_419</t>
  </si>
  <si>
    <t>M1420</t>
  </si>
  <si>
    <t>Movie_420</t>
  </si>
  <si>
    <t>M1421</t>
  </si>
  <si>
    <t>Movie_421</t>
  </si>
  <si>
    <t>M1422</t>
  </si>
  <si>
    <t>Movie_422</t>
  </si>
  <si>
    <t>M1423</t>
  </si>
  <si>
    <t>Movie_423</t>
  </si>
  <si>
    <t>M1424</t>
  </si>
  <si>
    <t>Movie_424</t>
  </si>
  <si>
    <t>M1425</t>
  </si>
  <si>
    <t>Movie_425</t>
  </si>
  <si>
    <t>M1426</t>
  </si>
  <si>
    <t>Movie_426</t>
  </si>
  <si>
    <t>M1427</t>
  </si>
  <si>
    <t>Movie_427</t>
  </si>
  <si>
    <t>M1428</t>
  </si>
  <si>
    <t>Movie_428</t>
  </si>
  <si>
    <t>M1429</t>
  </si>
  <si>
    <t>Movie_429</t>
  </si>
  <si>
    <t>M1430</t>
  </si>
  <si>
    <t>Movie_430</t>
  </si>
  <si>
    <t>M1431</t>
  </si>
  <si>
    <t>Movie_431</t>
  </si>
  <si>
    <t>M1432</t>
  </si>
  <si>
    <t>Movie_432</t>
  </si>
  <si>
    <t>M1433</t>
  </si>
  <si>
    <t>Movie_433</t>
  </si>
  <si>
    <t>M1434</t>
  </si>
  <si>
    <t>Movie_434</t>
  </si>
  <si>
    <t>M1435</t>
  </si>
  <si>
    <t>Movie_435</t>
  </si>
  <si>
    <t>M1436</t>
  </si>
  <si>
    <t>Movie_436</t>
  </si>
  <si>
    <t>M1437</t>
  </si>
  <si>
    <t>Movie_437</t>
  </si>
  <si>
    <t>M1438</t>
  </si>
  <si>
    <t>Movie_438</t>
  </si>
  <si>
    <t>M1439</t>
  </si>
  <si>
    <t>Movie_439</t>
  </si>
  <si>
    <t>M1440</t>
  </si>
  <si>
    <t>Movie_440</t>
  </si>
  <si>
    <t>M1441</t>
  </si>
  <si>
    <t>Movie_441</t>
  </si>
  <si>
    <t>M1442</t>
  </si>
  <si>
    <t>Movie_442</t>
  </si>
  <si>
    <t>M1443</t>
  </si>
  <si>
    <t>Movie_443</t>
  </si>
  <si>
    <t>M1444</t>
  </si>
  <si>
    <t>Movie_444</t>
  </si>
  <si>
    <t>M1445</t>
  </si>
  <si>
    <t>Movie_445</t>
  </si>
  <si>
    <t>M1446</t>
  </si>
  <si>
    <t>Movie_446</t>
  </si>
  <si>
    <t>M1447</t>
  </si>
  <si>
    <t>Movie_447</t>
  </si>
  <si>
    <t>M1448</t>
  </si>
  <si>
    <t>Movie_448</t>
  </si>
  <si>
    <t>M1449</t>
  </si>
  <si>
    <t>Movie_449</t>
  </si>
  <si>
    <t>M1450</t>
  </si>
  <si>
    <t>Movie_450</t>
  </si>
  <si>
    <t>M1451</t>
  </si>
  <si>
    <t>Movie_451</t>
  </si>
  <si>
    <t>M1452</t>
  </si>
  <si>
    <t>Movie_452</t>
  </si>
  <si>
    <t>M1453</t>
  </si>
  <si>
    <t>Movie_453</t>
  </si>
  <si>
    <t>M1454</t>
  </si>
  <si>
    <t>Movie_454</t>
  </si>
  <si>
    <t>M1455</t>
  </si>
  <si>
    <t>Movie_455</t>
  </si>
  <si>
    <t>M1456</t>
  </si>
  <si>
    <t>Movie_456</t>
  </si>
  <si>
    <t>M1457</t>
  </si>
  <si>
    <t>Movie_457</t>
  </si>
  <si>
    <t>M1458</t>
  </si>
  <si>
    <t>Movie_458</t>
  </si>
  <si>
    <t>M1459</t>
  </si>
  <si>
    <t>Movie_459</t>
  </si>
  <si>
    <t>M1460</t>
  </si>
  <si>
    <t>Movie_460</t>
  </si>
  <si>
    <t>M1461</t>
  </si>
  <si>
    <t>Movie_461</t>
  </si>
  <si>
    <t>M1462</t>
  </si>
  <si>
    <t>Movie_462</t>
  </si>
  <si>
    <t>M1463</t>
  </si>
  <si>
    <t>Movie_463</t>
  </si>
  <si>
    <t>M1464</t>
  </si>
  <si>
    <t>Movie_464</t>
  </si>
  <si>
    <t>M1465</t>
  </si>
  <si>
    <t>Movie_465</t>
  </si>
  <si>
    <t>M1466</t>
  </si>
  <si>
    <t>Movie_466</t>
  </si>
  <si>
    <t>M1467</t>
  </si>
  <si>
    <t>Movie_467</t>
  </si>
  <si>
    <t>M1468</t>
  </si>
  <si>
    <t>Movie_468</t>
  </si>
  <si>
    <t>M1469</t>
  </si>
  <si>
    <t>Movie_469</t>
  </si>
  <si>
    <t>M1470</t>
  </si>
  <si>
    <t>Movie_470</t>
  </si>
  <si>
    <t>M1471</t>
  </si>
  <si>
    <t>Movie_471</t>
  </si>
  <si>
    <t>M1472</t>
  </si>
  <si>
    <t>Movie_472</t>
  </si>
  <si>
    <t>M1473</t>
  </si>
  <si>
    <t>Movie_473</t>
  </si>
  <si>
    <t>M1474</t>
  </si>
  <si>
    <t>Movie_474</t>
  </si>
  <si>
    <t>M1475</t>
  </si>
  <si>
    <t>Movie_475</t>
  </si>
  <si>
    <t>M1476</t>
  </si>
  <si>
    <t>Movie_476</t>
  </si>
  <si>
    <t>M1477</t>
  </si>
  <si>
    <t>Movie_477</t>
  </si>
  <si>
    <t>M1478</t>
  </si>
  <si>
    <t>Movie_478</t>
  </si>
  <si>
    <t>M1479</t>
  </si>
  <si>
    <t>Movie_479</t>
  </si>
  <si>
    <t>M1480</t>
  </si>
  <si>
    <t>Movie_480</t>
  </si>
  <si>
    <t>M1481</t>
  </si>
  <si>
    <t>Movie_481</t>
  </si>
  <si>
    <t>M1482</t>
  </si>
  <si>
    <t>Movie_482</t>
  </si>
  <si>
    <t>M1483</t>
  </si>
  <si>
    <t>Movie_483</t>
  </si>
  <si>
    <t>M1484</t>
  </si>
  <si>
    <t>Movie_484</t>
  </si>
  <si>
    <t>M1485</t>
  </si>
  <si>
    <t>Movie_485</t>
  </si>
  <si>
    <t>M1486</t>
  </si>
  <si>
    <t>Movie_486</t>
  </si>
  <si>
    <t>M1487</t>
  </si>
  <si>
    <t>Movie_487</t>
  </si>
  <si>
    <t>M1488</t>
  </si>
  <si>
    <t>Movie_488</t>
  </si>
  <si>
    <t>M1489</t>
  </si>
  <si>
    <t>Movie_489</t>
  </si>
  <si>
    <t>M1490</t>
  </si>
  <si>
    <t>Movie_490</t>
  </si>
  <si>
    <t>M1491</t>
  </si>
  <si>
    <t>Movie_491</t>
  </si>
  <si>
    <t>M1492</t>
  </si>
  <si>
    <t>Movie_492</t>
  </si>
  <si>
    <t>M1493</t>
  </si>
  <si>
    <t>Movie_493</t>
  </si>
  <si>
    <t>M1494</t>
  </si>
  <si>
    <t>Movie_494</t>
  </si>
  <si>
    <t>M1495</t>
  </si>
  <si>
    <t>Movie_495</t>
  </si>
  <si>
    <t>M1496</t>
  </si>
  <si>
    <t>Movie_496</t>
  </si>
  <si>
    <t>M1497</t>
  </si>
  <si>
    <t>Movie_497</t>
  </si>
  <si>
    <t>M1498</t>
  </si>
  <si>
    <t>Movie_498</t>
  </si>
  <si>
    <t>M1499</t>
  </si>
  <si>
    <t>Movie_499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</si>
</sst>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000000"/>
      <name val="WordVisi_MSFontService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22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4"/>
  <sheetViews>
    <sheetView tabSelected="1" workbookViewId="0">
      <pane ySplit="1" topLeftCell="A499" activePane="bottomLeft" state="frozen"/>
      <selection pane="bottomLeft" activeCell="E505" sqref="E505"/>
    </sheetView>
  </sheetViews>
  <sheetFormatPr defaultRowHeight="15"/>
  <cols>
    <col min="2" max="2" width="14.140625" customWidth="1"/>
    <col min="4" max="4" width="24" customWidth="1"/>
    <col min="5" max="5" width="36.5703125" bestFit="1" customWidth="1"/>
    <col min="7" max="7" width="12.7109375" customWidth="1"/>
    <col min="9" max="9" width="15.85546875" customWidth="1"/>
    <col min="10" max="10" width="13.5703125" bestFit="1" customWidth="1"/>
    <col min="11" max="11" width="11.7109375" bestFit="1" customWidth="1"/>
    <col min="12" max="12" width="17.85546875" customWidth="1"/>
    <col min="13" max="13" width="15.7109375" bestFit="1" customWidth="1"/>
    <col min="15" max="15" width="10.7109375" bestFit="1" customWidth="1"/>
    <col min="16" max="16" width="18.7109375" bestFit="1" customWidth="1"/>
    <col min="18" max="18" width="9.42578125" bestFit="1" customWidth="1"/>
    <col min="21" max="21" width="17.7109375" bestFit="1" customWidth="1"/>
    <col min="22" max="22" width="17.1406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</row>
    <row r="2" spans="1:22">
      <c r="A2" t="s">
        <v>16</v>
      </c>
      <c r="B2" t="s">
        <v>17</v>
      </c>
      <c r="C2" t="s">
        <v>18</v>
      </c>
      <c r="D2">
        <v>87</v>
      </c>
      <c r="E2">
        <v>8.5</v>
      </c>
      <c r="F2" t="s">
        <v>19</v>
      </c>
      <c r="G2">
        <v>1995</v>
      </c>
      <c r="H2" t="s">
        <v>20</v>
      </c>
      <c r="I2" s="2">
        <v>44369</v>
      </c>
      <c r="J2" t="str">
        <f>IF(D2&gt;120, "Long", "Short")</f>
        <v>Short</v>
      </c>
      <c r="K2" t="str" cm="1">
        <f t="array" ref="K2">_xlfn.IFS(E2&lt;4, "Poor", E2&lt;7, "Average", E2&lt;9, "Good", TRUE, "Excellent")</f>
        <v>Good</v>
      </c>
      <c r="L2" t="str">
        <f>_xlfn.CONCAT(A2, " - ", B2)</f>
        <v>M1000 - Movie_0</v>
      </c>
      <c r="M2" t="str">
        <f>LEFT(F2,3)</f>
        <v>Jap</v>
      </c>
      <c r="N2" t="str">
        <f>RIGHT(G2,2)</f>
        <v>95</v>
      </c>
      <c r="O2">
        <f>LEN(B2)</f>
        <v>7</v>
      </c>
      <c r="P2" t="str">
        <f>TRIM(C2)</f>
        <v>Horror</v>
      </c>
    </row>
    <row r="3" spans="1:22">
      <c r="A3" t="s">
        <v>21</v>
      </c>
      <c r="B3" t="s">
        <v>22</v>
      </c>
      <c r="C3" t="s">
        <v>23</v>
      </c>
      <c r="D3">
        <v>157</v>
      </c>
      <c r="E3">
        <v>9.8000000000000007</v>
      </c>
      <c r="F3" t="s">
        <v>24</v>
      </c>
      <c r="G3">
        <v>2023</v>
      </c>
      <c r="H3" t="s">
        <v>25</v>
      </c>
      <c r="I3" s="2">
        <v>44544</v>
      </c>
      <c r="J3" t="str">
        <f t="shared" ref="J3:J66" si="0">IF(D3&gt;120, "Long", "Short")</f>
        <v>Long</v>
      </c>
      <c r="K3" t="str" cm="1">
        <f t="array" ref="K3">_xlfn.IFS(E3&lt;4, "Poor", E3&lt;7, "Average", E3&lt;9, "Good", TRUE, "Excellent")</f>
        <v>Excellent</v>
      </c>
      <c r="L3" t="str">
        <f t="shared" ref="L3:L66" si="1">_xlfn.CONCAT(A3, " - ", B3)</f>
        <v>M1001 - Movie_1</v>
      </c>
      <c r="M3" t="str">
        <f t="shared" ref="M3:M66" si="2">LEFT(F3,3)</f>
        <v>Hin</v>
      </c>
      <c r="N3" t="str">
        <f t="shared" ref="N3:N66" si="3">RIGHT(G3,2)</f>
        <v>23</v>
      </c>
      <c r="O3">
        <f t="shared" ref="O3:O66" si="4">LEN(B3)</f>
        <v>7</v>
      </c>
      <c r="P3" t="str">
        <f t="shared" ref="P3:P66" si="5">TRIM(C3)</f>
        <v>Action</v>
      </c>
    </row>
    <row r="4" spans="1:22">
      <c r="A4" t="s">
        <v>26</v>
      </c>
      <c r="B4" t="s">
        <v>27</v>
      </c>
      <c r="C4" t="s">
        <v>23</v>
      </c>
      <c r="D4">
        <v>69</v>
      </c>
      <c r="E4">
        <v>3.2</v>
      </c>
      <c r="F4" t="s">
        <v>28</v>
      </c>
      <c r="G4">
        <v>2005</v>
      </c>
      <c r="H4" t="s">
        <v>25</v>
      </c>
      <c r="I4" s="2">
        <v>45503</v>
      </c>
      <c r="J4" t="str">
        <f t="shared" si="0"/>
        <v>Short</v>
      </c>
      <c r="K4" t="str" cm="1">
        <f t="array" ref="K4">_xlfn.IFS(E4&lt;4, "Poor", E4&lt;7, "Average", E4&lt;9, "Good", TRUE, "Excellent")</f>
        <v>Poor</v>
      </c>
      <c r="L4" t="str">
        <f t="shared" si="1"/>
        <v>M1002 - Movie_2</v>
      </c>
      <c r="M4" t="str">
        <f t="shared" si="2"/>
        <v>Spa</v>
      </c>
      <c r="N4" t="str">
        <f t="shared" si="3"/>
        <v>05</v>
      </c>
      <c r="O4">
        <f t="shared" si="4"/>
        <v>7</v>
      </c>
      <c r="P4" t="str">
        <f t="shared" si="5"/>
        <v>Action</v>
      </c>
    </row>
    <row r="5" spans="1:22">
      <c r="A5" t="s">
        <v>29</v>
      </c>
      <c r="B5" t="s">
        <v>30</v>
      </c>
      <c r="C5" t="s">
        <v>18</v>
      </c>
      <c r="D5">
        <v>180</v>
      </c>
      <c r="E5">
        <v>6</v>
      </c>
      <c r="F5" t="s">
        <v>31</v>
      </c>
      <c r="G5">
        <v>1999</v>
      </c>
      <c r="H5" t="s">
        <v>20</v>
      </c>
      <c r="I5" s="2">
        <v>44009</v>
      </c>
      <c r="J5" t="str">
        <f t="shared" si="0"/>
        <v>Long</v>
      </c>
      <c r="K5" t="str" cm="1">
        <f t="array" ref="K5">_xlfn.IFS(E5&lt;4, "Poor", E5&lt;7, "Average", E5&lt;9, "Good", TRUE, "Excellent")</f>
        <v>Average</v>
      </c>
      <c r="L5" t="str">
        <f t="shared" si="1"/>
        <v>M1003 - Movie_3</v>
      </c>
      <c r="M5" t="str">
        <f t="shared" si="2"/>
        <v>Fre</v>
      </c>
      <c r="N5" t="str">
        <f t="shared" si="3"/>
        <v>99</v>
      </c>
      <c r="O5">
        <f t="shared" si="4"/>
        <v>7</v>
      </c>
      <c r="P5" t="str">
        <f t="shared" si="5"/>
        <v>Horror</v>
      </c>
    </row>
    <row r="6" spans="1:22">
      <c r="A6" t="s">
        <v>32</v>
      </c>
      <c r="B6" t="s">
        <v>33</v>
      </c>
      <c r="C6" t="s">
        <v>34</v>
      </c>
      <c r="D6">
        <v>116</v>
      </c>
      <c r="E6">
        <v>4.5</v>
      </c>
      <c r="F6" t="s">
        <v>35</v>
      </c>
      <c r="G6">
        <v>2009</v>
      </c>
      <c r="H6" t="s">
        <v>25</v>
      </c>
      <c r="I6" s="2">
        <v>44730</v>
      </c>
      <c r="J6" t="str">
        <f t="shared" si="0"/>
        <v>Short</v>
      </c>
      <c r="K6" t="str" cm="1">
        <f t="array" ref="K6">_xlfn.IFS(E6&lt;4, "Poor", E6&lt;7, "Average", E6&lt;9, "Good", TRUE, "Excellent")</f>
        <v>Average</v>
      </c>
      <c r="L6" t="str">
        <f t="shared" si="1"/>
        <v>M1004 - Movie_4</v>
      </c>
      <c r="M6" t="str">
        <f t="shared" si="2"/>
        <v>Eng</v>
      </c>
      <c r="N6" t="str">
        <f t="shared" si="3"/>
        <v>09</v>
      </c>
      <c r="O6">
        <f t="shared" si="4"/>
        <v>7</v>
      </c>
      <c r="P6" t="str">
        <f t="shared" si="5"/>
        <v>Drama</v>
      </c>
      <c r="R6" t="s">
        <v>36</v>
      </c>
      <c r="U6" t="s">
        <v>37</v>
      </c>
    </row>
    <row r="7" spans="1:22">
      <c r="A7" t="s">
        <v>38</v>
      </c>
      <c r="B7" t="s">
        <v>39</v>
      </c>
      <c r="C7" t="s">
        <v>40</v>
      </c>
      <c r="D7">
        <v>111</v>
      </c>
      <c r="E7">
        <v>9.3000000000000007</v>
      </c>
      <c r="F7" t="s">
        <v>24</v>
      </c>
      <c r="G7">
        <v>1984</v>
      </c>
      <c r="H7" t="s">
        <v>20</v>
      </c>
      <c r="I7" s="2">
        <v>44071</v>
      </c>
      <c r="J7" t="str">
        <f t="shared" si="0"/>
        <v>Short</v>
      </c>
      <c r="K7" t="str" cm="1">
        <f t="array" ref="K7">_xlfn.IFS(E7&lt;4, "Poor", E7&lt;7, "Average", E7&lt;9, "Good", TRUE, "Excellent")</f>
        <v>Excellent</v>
      </c>
      <c r="L7" t="str">
        <f t="shared" si="1"/>
        <v>M1005 - Movie_5</v>
      </c>
      <c r="M7" t="str">
        <f t="shared" si="2"/>
        <v>Hin</v>
      </c>
      <c r="N7" t="str">
        <f t="shared" si="3"/>
        <v>84</v>
      </c>
      <c r="O7">
        <f t="shared" si="4"/>
        <v>7</v>
      </c>
      <c r="P7" t="str">
        <f t="shared" si="5"/>
        <v>Comedy</v>
      </c>
    </row>
    <row r="8" spans="1:22">
      <c r="A8" t="s">
        <v>41</v>
      </c>
      <c r="B8" t="s">
        <v>42</v>
      </c>
      <c r="C8" t="s">
        <v>40</v>
      </c>
      <c r="D8">
        <v>177</v>
      </c>
      <c r="E8">
        <v>5.6</v>
      </c>
      <c r="F8" t="s">
        <v>19</v>
      </c>
      <c r="G8">
        <v>2024</v>
      </c>
      <c r="H8" t="s">
        <v>20</v>
      </c>
      <c r="I8" s="2">
        <v>45419</v>
      </c>
      <c r="J8" t="str">
        <f t="shared" si="0"/>
        <v>Long</v>
      </c>
      <c r="K8" t="str" cm="1">
        <f t="array" ref="K8">_xlfn.IFS(E8&lt;4, "Poor", E8&lt;7, "Average", E8&lt;9, "Good", TRUE, "Excellent")</f>
        <v>Average</v>
      </c>
      <c r="L8" t="str">
        <f t="shared" si="1"/>
        <v>M1006 - Movie_6</v>
      </c>
      <c r="M8" t="str">
        <f t="shared" si="2"/>
        <v>Jap</v>
      </c>
      <c r="N8" t="str">
        <f t="shared" si="3"/>
        <v>24</v>
      </c>
      <c r="O8">
        <f t="shared" si="4"/>
        <v>7</v>
      </c>
      <c r="P8" t="str">
        <f t="shared" si="5"/>
        <v>Comedy</v>
      </c>
      <c r="R8" t="s">
        <v>0</v>
      </c>
      <c r="S8" t="s">
        <v>2</v>
      </c>
      <c r="U8" t="s">
        <v>0</v>
      </c>
      <c r="V8" t="s">
        <v>4</v>
      </c>
    </row>
    <row r="9" spans="1:22">
      <c r="A9" t="s">
        <v>43</v>
      </c>
      <c r="B9" t="s">
        <v>44</v>
      </c>
      <c r="C9" t="s">
        <v>40</v>
      </c>
      <c r="D9">
        <v>149</v>
      </c>
      <c r="E9">
        <v>8.9</v>
      </c>
      <c r="F9" t="s">
        <v>28</v>
      </c>
      <c r="G9">
        <v>1983</v>
      </c>
      <c r="H9" t="s">
        <v>20</v>
      </c>
      <c r="I9" s="2">
        <v>45493</v>
      </c>
      <c r="J9" t="str">
        <f t="shared" si="0"/>
        <v>Long</v>
      </c>
      <c r="K9" t="str" cm="1">
        <f t="array" ref="K9">_xlfn.IFS(E9&lt;4, "Poor", E9&lt;7, "Average", E9&lt;9, "Good", TRUE, "Excellent")</f>
        <v>Good</v>
      </c>
      <c r="L9" t="str">
        <f t="shared" si="1"/>
        <v>M1007 - Movie_7</v>
      </c>
      <c r="M9" t="str">
        <f t="shared" si="2"/>
        <v>Spa</v>
      </c>
      <c r="N9" t="str">
        <f t="shared" si="3"/>
        <v>83</v>
      </c>
      <c r="O9">
        <f t="shared" si="4"/>
        <v>7</v>
      </c>
      <c r="P9" t="str">
        <f t="shared" si="5"/>
        <v>Comedy</v>
      </c>
      <c r="R9" s="7" t="s">
        <v>41</v>
      </c>
      <c r="S9" t="str">
        <f>VLOOKUP("M1006", A2:I501, 3, FALSE)</f>
        <v>Comedy</v>
      </c>
      <c r="U9" t="s">
        <v>45</v>
      </c>
      <c r="V9">
        <f>INDEX(E2:E501, MATCH("M1025", A2:A501, 0))</f>
        <v>5.0999999999999996</v>
      </c>
    </row>
    <row r="10" spans="1:22">
      <c r="A10" t="s">
        <v>46</v>
      </c>
      <c r="B10" t="s">
        <v>47</v>
      </c>
      <c r="C10" t="s">
        <v>18</v>
      </c>
      <c r="D10">
        <v>138</v>
      </c>
      <c r="E10">
        <v>8.8000000000000007</v>
      </c>
      <c r="F10" t="s">
        <v>31</v>
      </c>
      <c r="G10">
        <v>1990</v>
      </c>
      <c r="H10" t="s">
        <v>25</v>
      </c>
      <c r="I10" s="2">
        <v>44316</v>
      </c>
      <c r="J10" t="str">
        <f t="shared" si="0"/>
        <v>Long</v>
      </c>
      <c r="K10" t="str" cm="1">
        <f t="array" ref="K10">_xlfn.IFS(E10&lt;4, "Poor", E10&lt;7, "Average", E10&lt;9, "Good", TRUE, "Excellent")</f>
        <v>Good</v>
      </c>
      <c r="L10" t="str">
        <f t="shared" si="1"/>
        <v>M1008 - Movie_8</v>
      </c>
      <c r="M10" t="str">
        <f t="shared" si="2"/>
        <v>Fre</v>
      </c>
      <c r="N10" t="str">
        <f t="shared" si="3"/>
        <v>90</v>
      </c>
      <c r="O10">
        <f t="shared" si="4"/>
        <v>7</v>
      </c>
      <c r="P10" t="str">
        <f t="shared" si="5"/>
        <v>Horror</v>
      </c>
    </row>
    <row r="11" spans="1:22">
      <c r="A11" t="s">
        <v>48</v>
      </c>
      <c r="B11" t="s">
        <v>49</v>
      </c>
      <c r="C11" t="s">
        <v>23</v>
      </c>
      <c r="D11">
        <v>118</v>
      </c>
      <c r="E11">
        <v>3.5</v>
      </c>
      <c r="F11" t="s">
        <v>31</v>
      </c>
      <c r="G11">
        <v>2008</v>
      </c>
      <c r="H11" t="s">
        <v>20</v>
      </c>
      <c r="I11" s="2">
        <v>44260</v>
      </c>
      <c r="J11" t="str">
        <f>IF(D11&gt;120, "Long", "Short")</f>
        <v>Short</v>
      </c>
      <c r="K11" t="str" cm="1">
        <f t="array" ref="K11">_xlfn.IFS(E11&lt;4, "Poor", E11&lt;7, "Average", E11&lt;9, "Good", TRUE, "Excellent")</f>
        <v>Poor</v>
      </c>
      <c r="L11" t="str">
        <f t="shared" si="1"/>
        <v>M1009 - Movie_9</v>
      </c>
      <c r="M11" t="str">
        <f t="shared" si="2"/>
        <v>Fre</v>
      </c>
      <c r="N11" t="str">
        <f t="shared" si="3"/>
        <v>08</v>
      </c>
      <c r="O11">
        <f t="shared" si="4"/>
        <v>7</v>
      </c>
      <c r="P11" t="str">
        <f t="shared" si="5"/>
        <v>Action</v>
      </c>
    </row>
    <row r="12" spans="1:22">
      <c r="A12" t="s">
        <v>50</v>
      </c>
      <c r="B12" t="s">
        <v>51</v>
      </c>
      <c r="C12" t="s">
        <v>18</v>
      </c>
      <c r="D12">
        <v>117</v>
      </c>
      <c r="E12">
        <v>8.1</v>
      </c>
      <c r="F12" t="s">
        <v>19</v>
      </c>
      <c r="G12">
        <v>2006</v>
      </c>
      <c r="H12" t="s">
        <v>20</v>
      </c>
      <c r="I12" s="2">
        <v>45491</v>
      </c>
      <c r="J12" t="str">
        <f t="shared" si="0"/>
        <v>Short</v>
      </c>
      <c r="K12" t="str" cm="1">
        <f t="array" ref="K12">_xlfn.IFS(E12&lt;4, "Poor", E12&lt;7, "Average", E12&lt;9, "Good", TRUE, "Excellent")</f>
        <v>Good</v>
      </c>
      <c r="L12" t="str">
        <f t="shared" si="1"/>
        <v>M1010 - Movie_10</v>
      </c>
      <c r="M12" t="str">
        <f t="shared" si="2"/>
        <v>Jap</v>
      </c>
      <c r="N12" t="str">
        <f t="shared" si="3"/>
        <v>06</v>
      </c>
      <c r="O12">
        <f t="shared" si="4"/>
        <v>8</v>
      </c>
      <c r="P12" t="str">
        <f t="shared" si="5"/>
        <v>Horror</v>
      </c>
      <c r="U12" t="s">
        <v>1</v>
      </c>
      <c r="V12" t="s">
        <v>52</v>
      </c>
    </row>
    <row r="13" spans="1:22">
      <c r="A13" t="s">
        <v>53</v>
      </c>
      <c r="B13" t="s">
        <v>54</v>
      </c>
      <c r="C13" t="s">
        <v>18</v>
      </c>
      <c r="D13">
        <v>66</v>
      </c>
      <c r="E13">
        <v>4.7</v>
      </c>
      <c r="F13" t="s">
        <v>19</v>
      </c>
      <c r="G13">
        <v>2010</v>
      </c>
      <c r="H13" t="s">
        <v>20</v>
      </c>
      <c r="I13" s="2">
        <v>45341</v>
      </c>
      <c r="J13" t="str">
        <f t="shared" si="0"/>
        <v>Short</v>
      </c>
      <c r="K13" t="str" cm="1">
        <f t="array" ref="K13">_xlfn.IFS(E13&lt;4, "Poor", E13&lt;7, "Average", E13&lt;9, "Good", TRUE, "Excellent")</f>
        <v>Average</v>
      </c>
      <c r="L13" t="str">
        <f t="shared" si="1"/>
        <v>M1011 - Movie_11</v>
      </c>
      <c r="M13" t="str">
        <f t="shared" si="2"/>
        <v>Jap</v>
      </c>
      <c r="N13" t="str">
        <f t="shared" si="3"/>
        <v>10</v>
      </c>
      <c r="O13">
        <f t="shared" si="4"/>
        <v>8</v>
      </c>
      <c r="P13" t="str">
        <f t="shared" si="5"/>
        <v>Horror</v>
      </c>
      <c r="U13" s="8" t="s">
        <v>55</v>
      </c>
      <c r="V13" s="3">
        <f>INDEX(D2:D501,MATCH("Movie_25",B2:B501,0))</f>
        <v>126</v>
      </c>
    </row>
    <row r="14" spans="1:22">
      <c r="A14" t="s">
        <v>56</v>
      </c>
      <c r="B14" t="s">
        <v>57</v>
      </c>
      <c r="C14" t="s">
        <v>58</v>
      </c>
      <c r="D14">
        <v>109</v>
      </c>
      <c r="E14">
        <v>9.4</v>
      </c>
      <c r="F14" t="s">
        <v>19</v>
      </c>
      <c r="G14">
        <v>2009</v>
      </c>
      <c r="H14" t="s">
        <v>20</v>
      </c>
      <c r="I14" s="2">
        <v>45035</v>
      </c>
      <c r="J14" t="str">
        <f t="shared" si="0"/>
        <v>Short</v>
      </c>
      <c r="K14" t="str" cm="1">
        <f t="array" ref="K14">_xlfn.IFS(E14&lt;4, "Poor", E14&lt;7, "Average", E14&lt;9, "Good", TRUE, "Excellent")</f>
        <v>Excellent</v>
      </c>
      <c r="L14" t="str">
        <f t="shared" si="1"/>
        <v>M1012 - Movie_12</v>
      </c>
      <c r="M14" t="str">
        <f t="shared" si="2"/>
        <v>Jap</v>
      </c>
      <c r="N14" t="str">
        <f t="shared" si="3"/>
        <v>09</v>
      </c>
      <c r="O14">
        <f t="shared" si="4"/>
        <v>8</v>
      </c>
      <c r="P14" t="str">
        <f t="shared" si="5"/>
        <v>Sci-Fi</v>
      </c>
    </row>
    <row r="15" spans="1:22">
      <c r="A15" t="s">
        <v>59</v>
      </c>
      <c r="B15" t="s">
        <v>60</v>
      </c>
      <c r="C15" t="s">
        <v>23</v>
      </c>
      <c r="D15">
        <v>162</v>
      </c>
      <c r="E15">
        <v>5.6</v>
      </c>
      <c r="F15" t="s">
        <v>61</v>
      </c>
      <c r="G15">
        <v>1993</v>
      </c>
      <c r="H15" t="s">
        <v>20</v>
      </c>
      <c r="I15" s="2">
        <v>45242</v>
      </c>
      <c r="J15" t="str">
        <f t="shared" si="0"/>
        <v>Long</v>
      </c>
      <c r="K15" t="str" cm="1">
        <f t="array" ref="K15">_xlfn.IFS(E15&lt;4, "Poor", E15&lt;7, "Average", E15&lt;9, "Good", TRUE, "Excellent")</f>
        <v>Average</v>
      </c>
      <c r="L15" t="str">
        <f t="shared" si="1"/>
        <v>M1013 - Movie_13</v>
      </c>
      <c r="M15" t="str">
        <f t="shared" si="2"/>
        <v>Ger</v>
      </c>
      <c r="N15" t="str">
        <f t="shared" si="3"/>
        <v>93</v>
      </c>
      <c r="O15">
        <f t="shared" si="4"/>
        <v>8</v>
      </c>
      <c r="P15" t="str">
        <f t="shared" si="5"/>
        <v>Action</v>
      </c>
    </row>
    <row r="16" spans="1:22">
      <c r="A16" t="s">
        <v>62</v>
      </c>
      <c r="B16" t="s">
        <v>63</v>
      </c>
      <c r="C16" t="s">
        <v>58</v>
      </c>
      <c r="D16">
        <v>144</v>
      </c>
      <c r="E16">
        <v>8.4</v>
      </c>
      <c r="F16" t="s">
        <v>28</v>
      </c>
      <c r="G16">
        <v>2001</v>
      </c>
      <c r="H16" t="s">
        <v>20</v>
      </c>
      <c r="I16" s="2">
        <v>44549</v>
      </c>
      <c r="J16" t="str">
        <f t="shared" si="0"/>
        <v>Long</v>
      </c>
      <c r="K16" t="str" cm="1">
        <f t="array" ref="K16">_xlfn.IFS(E16&lt;4, "Poor", E16&lt;7, "Average", E16&lt;9, "Good", TRUE, "Excellent")</f>
        <v>Good</v>
      </c>
      <c r="L16" t="str">
        <f t="shared" si="1"/>
        <v>M1014 - Movie_14</v>
      </c>
      <c r="M16" t="str">
        <f t="shared" si="2"/>
        <v>Spa</v>
      </c>
      <c r="N16" t="str">
        <f t="shared" si="3"/>
        <v>01</v>
      </c>
      <c r="O16">
        <f t="shared" si="4"/>
        <v>8</v>
      </c>
      <c r="P16" t="str">
        <f t="shared" si="5"/>
        <v>Sci-Fi</v>
      </c>
      <c r="U16" t="s">
        <v>64</v>
      </c>
      <c r="V16" t="s">
        <v>1</v>
      </c>
    </row>
    <row r="17" spans="1:22">
      <c r="A17" t="s">
        <v>65</v>
      </c>
      <c r="B17" t="s">
        <v>66</v>
      </c>
      <c r="C17" t="s">
        <v>67</v>
      </c>
      <c r="D17">
        <v>131</v>
      </c>
      <c r="E17">
        <v>3.5</v>
      </c>
      <c r="F17" t="s">
        <v>24</v>
      </c>
      <c r="G17">
        <v>2018</v>
      </c>
      <c r="H17" t="s">
        <v>25</v>
      </c>
      <c r="I17" s="2">
        <v>45286</v>
      </c>
      <c r="J17" t="str">
        <f t="shared" si="0"/>
        <v>Long</v>
      </c>
      <c r="K17" t="str" cm="1">
        <f t="array" ref="K17">_xlfn.IFS(E17&lt;4, "Poor", E17&lt;7, "Average", E17&lt;9, "Good", TRUE, "Excellent")</f>
        <v>Poor</v>
      </c>
      <c r="L17" t="str">
        <f t="shared" si="1"/>
        <v>M1015 - Movie_15</v>
      </c>
      <c r="M17" t="str">
        <f t="shared" si="2"/>
        <v>Hin</v>
      </c>
      <c r="N17" t="str">
        <f t="shared" si="3"/>
        <v>18</v>
      </c>
      <c r="O17">
        <f t="shared" si="4"/>
        <v>8</v>
      </c>
      <c r="P17" t="str">
        <f t="shared" si="5"/>
        <v>Thriller</v>
      </c>
      <c r="U17">
        <v>2020</v>
      </c>
      <c r="V17" t="str">
        <f>INDEX(B2:B501,MATCH(2020,G2:G501,0))</f>
        <v>Movie_152</v>
      </c>
    </row>
    <row r="18" spans="1:22">
      <c r="A18" t="s">
        <v>68</v>
      </c>
      <c r="B18" t="s">
        <v>69</v>
      </c>
      <c r="C18" t="s">
        <v>23</v>
      </c>
      <c r="D18">
        <v>77</v>
      </c>
      <c r="E18">
        <v>3.7</v>
      </c>
      <c r="F18" t="s">
        <v>19</v>
      </c>
      <c r="G18">
        <v>1989</v>
      </c>
      <c r="H18" t="s">
        <v>20</v>
      </c>
      <c r="I18" s="2">
        <v>45080</v>
      </c>
      <c r="J18" t="str">
        <f t="shared" si="0"/>
        <v>Short</v>
      </c>
      <c r="K18" t="str" cm="1">
        <f t="array" ref="K18">_xlfn.IFS(E18&lt;4, "Poor", E18&lt;7, "Average", E18&lt;9, "Good", TRUE, "Excellent")</f>
        <v>Poor</v>
      </c>
      <c r="L18" t="str">
        <f t="shared" si="1"/>
        <v>M1016 - Movie_16</v>
      </c>
      <c r="M18" t="str">
        <f t="shared" si="2"/>
        <v>Jap</v>
      </c>
      <c r="N18" t="str">
        <f t="shared" si="3"/>
        <v>89</v>
      </c>
      <c r="O18">
        <f t="shared" si="4"/>
        <v>8</v>
      </c>
      <c r="P18" t="str">
        <f t="shared" si="5"/>
        <v>Action</v>
      </c>
    </row>
    <row r="19" spans="1:22">
      <c r="A19" t="s">
        <v>70</v>
      </c>
      <c r="B19" t="s">
        <v>71</v>
      </c>
      <c r="C19" t="s">
        <v>23</v>
      </c>
      <c r="D19">
        <v>131</v>
      </c>
      <c r="E19">
        <v>6.3</v>
      </c>
      <c r="F19" t="s">
        <v>35</v>
      </c>
      <c r="G19">
        <v>2000</v>
      </c>
      <c r="H19" t="s">
        <v>20</v>
      </c>
      <c r="I19" s="2">
        <v>45126</v>
      </c>
      <c r="J19" t="str">
        <f t="shared" si="0"/>
        <v>Long</v>
      </c>
      <c r="K19" t="str" cm="1">
        <f t="array" ref="K19">_xlfn.IFS(E19&lt;4, "Poor", E19&lt;7, "Average", E19&lt;9, "Good", TRUE, "Excellent")</f>
        <v>Average</v>
      </c>
      <c r="L19" t="str">
        <f t="shared" si="1"/>
        <v>M1017 - Movie_17</v>
      </c>
      <c r="M19" t="str">
        <f t="shared" si="2"/>
        <v>Eng</v>
      </c>
      <c r="N19" t="str">
        <f t="shared" si="3"/>
        <v>00</v>
      </c>
      <c r="O19">
        <f t="shared" si="4"/>
        <v>8</v>
      </c>
      <c r="P19" t="str">
        <f t="shared" si="5"/>
        <v>Action</v>
      </c>
    </row>
    <row r="20" spans="1:22">
      <c r="A20" t="s">
        <v>72</v>
      </c>
      <c r="B20" t="s">
        <v>73</v>
      </c>
      <c r="C20" t="s">
        <v>23</v>
      </c>
      <c r="D20">
        <v>149</v>
      </c>
      <c r="E20">
        <v>10</v>
      </c>
      <c r="F20" t="s">
        <v>31</v>
      </c>
      <c r="G20">
        <v>2025</v>
      </c>
      <c r="H20" t="s">
        <v>20</v>
      </c>
      <c r="I20" s="2">
        <v>44707</v>
      </c>
      <c r="J20" t="str">
        <f t="shared" si="0"/>
        <v>Long</v>
      </c>
      <c r="K20" t="str" cm="1">
        <f t="array" ref="K20">_xlfn.IFS(E20&lt;4, "Poor", E20&lt;7, "Average", E20&lt;9, "Good", TRUE, "Excellent")</f>
        <v>Excellent</v>
      </c>
      <c r="L20" t="str">
        <f t="shared" si="1"/>
        <v>M1018 - Movie_18</v>
      </c>
      <c r="M20" t="str">
        <f t="shared" si="2"/>
        <v>Fre</v>
      </c>
      <c r="N20" t="str">
        <f t="shared" si="3"/>
        <v>25</v>
      </c>
      <c r="O20">
        <f t="shared" si="4"/>
        <v>8</v>
      </c>
      <c r="P20" t="str">
        <f t="shared" si="5"/>
        <v>Action</v>
      </c>
    </row>
    <row r="21" spans="1:22">
      <c r="A21" t="s">
        <v>74</v>
      </c>
      <c r="B21" t="s">
        <v>75</v>
      </c>
      <c r="C21" t="s">
        <v>40</v>
      </c>
      <c r="D21">
        <v>190</v>
      </c>
      <c r="E21">
        <v>5.4</v>
      </c>
      <c r="F21" t="s">
        <v>24</v>
      </c>
      <c r="G21">
        <v>2000</v>
      </c>
      <c r="H21" t="s">
        <v>25</v>
      </c>
      <c r="I21" s="2">
        <v>44170</v>
      </c>
      <c r="J21" t="str">
        <f t="shared" si="0"/>
        <v>Long</v>
      </c>
      <c r="K21" t="str" cm="1">
        <f t="array" ref="K21">_xlfn.IFS(E21&lt;4, "Poor", E21&lt;7, "Average", E21&lt;9, "Good", TRUE, "Excellent")</f>
        <v>Average</v>
      </c>
      <c r="L21" t="str">
        <f t="shared" si="1"/>
        <v>M1019 - Movie_19</v>
      </c>
      <c r="M21" t="str">
        <f t="shared" si="2"/>
        <v>Hin</v>
      </c>
      <c r="N21" t="str">
        <f t="shared" si="3"/>
        <v>00</v>
      </c>
      <c r="O21">
        <f t="shared" si="4"/>
        <v>8</v>
      </c>
      <c r="P21" t="str">
        <f t="shared" si="5"/>
        <v>Comedy</v>
      </c>
    </row>
    <row r="22" spans="1:22">
      <c r="A22" t="s">
        <v>76</v>
      </c>
      <c r="B22" t="s">
        <v>77</v>
      </c>
      <c r="C22" t="s">
        <v>40</v>
      </c>
      <c r="D22">
        <v>162</v>
      </c>
      <c r="E22">
        <v>2.2999999999999998</v>
      </c>
      <c r="F22" t="s">
        <v>61</v>
      </c>
      <c r="G22">
        <v>2002</v>
      </c>
      <c r="H22" t="s">
        <v>25</v>
      </c>
      <c r="I22" s="2">
        <v>45092</v>
      </c>
      <c r="J22" t="str">
        <f t="shared" si="0"/>
        <v>Long</v>
      </c>
      <c r="K22" t="str" cm="1">
        <f t="array" ref="K22">_xlfn.IFS(E22&lt;4, "Poor", E22&lt;7, "Average", E22&lt;9, "Good", TRUE, "Excellent")</f>
        <v>Poor</v>
      </c>
      <c r="L22" t="str">
        <f t="shared" si="1"/>
        <v>M1020 - Movie_20</v>
      </c>
      <c r="M22" t="str">
        <f t="shared" si="2"/>
        <v>Ger</v>
      </c>
      <c r="N22" t="str">
        <f t="shared" si="3"/>
        <v>02</v>
      </c>
      <c r="O22">
        <f t="shared" si="4"/>
        <v>8</v>
      </c>
      <c r="P22" t="str">
        <f t="shared" si="5"/>
        <v>Comedy</v>
      </c>
    </row>
    <row r="23" spans="1:22">
      <c r="A23" t="s">
        <v>78</v>
      </c>
      <c r="B23" t="s">
        <v>79</v>
      </c>
      <c r="C23" t="s">
        <v>58</v>
      </c>
      <c r="D23">
        <v>197</v>
      </c>
      <c r="E23">
        <v>5.8</v>
      </c>
      <c r="F23" t="s">
        <v>19</v>
      </c>
      <c r="G23">
        <v>2005</v>
      </c>
      <c r="H23" t="s">
        <v>20</v>
      </c>
      <c r="I23" s="2">
        <v>44116</v>
      </c>
      <c r="J23" t="str">
        <f t="shared" si="0"/>
        <v>Long</v>
      </c>
      <c r="K23" t="str" cm="1">
        <f t="array" ref="K23">_xlfn.IFS(E23&lt;4, "Poor", E23&lt;7, "Average", E23&lt;9, "Good", TRUE, "Excellent")</f>
        <v>Average</v>
      </c>
      <c r="L23" t="str">
        <f t="shared" si="1"/>
        <v>M1021 - Movie_21</v>
      </c>
      <c r="M23" t="str">
        <f t="shared" si="2"/>
        <v>Jap</v>
      </c>
      <c r="N23" t="str">
        <f t="shared" si="3"/>
        <v>05</v>
      </c>
      <c r="O23">
        <f t="shared" si="4"/>
        <v>8</v>
      </c>
      <c r="P23" t="str">
        <f t="shared" si="5"/>
        <v>Sci-Fi</v>
      </c>
    </row>
    <row r="24" spans="1:22">
      <c r="A24" t="s">
        <v>80</v>
      </c>
      <c r="B24" t="s">
        <v>81</v>
      </c>
      <c r="C24" t="s">
        <v>58</v>
      </c>
      <c r="D24">
        <v>144</v>
      </c>
      <c r="E24">
        <v>4.0999999999999996</v>
      </c>
      <c r="F24" t="s">
        <v>31</v>
      </c>
      <c r="G24">
        <v>1988</v>
      </c>
      <c r="H24" t="s">
        <v>20</v>
      </c>
      <c r="I24" s="2">
        <v>45438</v>
      </c>
      <c r="J24" t="str">
        <f t="shared" si="0"/>
        <v>Long</v>
      </c>
      <c r="K24" t="str" cm="1">
        <f t="array" ref="K24">_xlfn.IFS(E24&lt;4, "Poor", E24&lt;7, "Average", E24&lt;9, "Good", TRUE, "Excellent")</f>
        <v>Average</v>
      </c>
      <c r="L24" t="str">
        <f t="shared" si="1"/>
        <v>M1022 - Movie_22</v>
      </c>
      <c r="M24" t="str">
        <f t="shared" si="2"/>
        <v>Fre</v>
      </c>
      <c r="N24" t="str">
        <f t="shared" si="3"/>
        <v>88</v>
      </c>
      <c r="O24">
        <f t="shared" si="4"/>
        <v>8</v>
      </c>
      <c r="P24" t="str">
        <f t="shared" si="5"/>
        <v>Sci-Fi</v>
      </c>
    </row>
    <row r="25" spans="1:22">
      <c r="A25" t="s">
        <v>82</v>
      </c>
      <c r="B25" t="s">
        <v>83</v>
      </c>
      <c r="C25" t="s">
        <v>23</v>
      </c>
      <c r="D25">
        <v>67</v>
      </c>
      <c r="E25">
        <v>6</v>
      </c>
      <c r="F25" t="s">
        <v>28</v>
      </c>
      <c r="G25">
        <v>2003</v>
      </c>
      <c r="H25" t="s">
        <v>20</v>
      </c>
      <c r="I25" s="2">
        <v>44254</v>
      </c>
      <c r="J25" t="str">
        <f t="shared" si="0"/>
        <v>Short</v>
      </c>
      <c r="K25" t="str" cm="1">
        <f t="array" ref="K25">_xlfn.IFS(E25&lt;4, "Poor", E25&lt;7, "Average", E25&lt;9, "Good", TRUE, "Excellent")</f>
        <v>Average</v>
      </c>
      <c r="L25" t="str">
        <f t="shared" si="1"/>
        <v>M1023 - Movie_23</v>
      </c>
      <c r="M25" t="str">
        <f t="shared" si="2"/>
        <v>Spa</v>
      </c>
      <c r="N25" t="str">
        <f t="shared" si="3"/>
        <v>03</v>
      </c>
      <c r="O25">
        <f t="shared" si="4"/>
        <v>8</v>
      </c>
      <c r="P25" t="str">
        <f t="shared" si="5"/>
        <v>Action</v>
      </c>
    </row>
    <row r="26" spans="1:22">
      <c r="A26" t="s">
        <v>84</v>
      </c>
      <c r="B26" t="s">
        <v>85</v>
      </c>
      <c r="C26" t="s">
        <v>58</v>
      </c>
      <c r="D26">
        <v>89</v>
      </c>
      <c r="E26">
        <v>5.9</v>
      </c>
      <c r="F26" t="s">
        <v>19</v>
      </c>
      <c r="G26">
        <v>2012</v>
      </c>
      <c r="H26" t="s">
        <v>20</v>
      </c>
      <c r="I26" s="2">
        <v>45497</v>
      </c>
      <c r="J26" t="str">
        <f t="shared" si="0"/>
        <v>Short</v>
      </c>
      <c r="K26" t="str" cm="1">
        <f t="array" ref="K26">_xlfn.IFS(E26&lt;4, "Poor", E26&lt;7, "Average", E26&lt;9, "Good", TRUE, "Excellent")</f>
        <v>Average</v>
      </c>
      <c r="L26" t="str">
        <f t="shared" si="1"/>
        <v>M1024 - Movie_24</v>
      </c>
      <c r="M26" t="str">
        <f t="shared" si="2"/>
        <v>Jap</v>
      </c>
      <c r="N26" t="str">
        <f t="shared" si="3"/>
        <v>12</v>
      </c>
      <c r="O26">
        <f t="shared" si="4"/>
        <v>8</v>
      </c>
      <c r="P26" t="str">
        <f t="shared" si="5"/>
        <v>Sci-Fi</v>
      </c>
    </row>
    <row r="27" spans="1:22">
      <c r="A27" t="s">
        <v>45</v>
      </c>
      <c r="B27" t="s">
        <v>55</v>
      </c>
      <c r="C27" t="s">
        <v>40</v>
      </c>
      <c r="D27">
        <v>126</v>
      </c>
      <c r="E27">
        <v>5.0999999999999996</v>
      </c>
      <c r="F27" t="s">
        <v>19</v>
      </c>
      <c r="G27">
        <v>2015</v>
      </c>
      <c r="H27" t="s">
        <v>25</v>
      </c>
      <c r="I27" s="2">
        <v>44254</v>
      </c>
      <c r="J27" t="str">
        <f t="shared" si="0"/>
        <v>Long</v>
      </c>
      <c r="K27" t="str" cm="1">
        <f t="array" ref="K27">_xlfn.IFS(E27&lt;4, "Poor", E27&lt;7, "Average", E27&lt;9, "Good", TRUE, "Excellent")</f>
        <v>Average</v>
      </c>
      <c r="L27" t="str">
        <f t="shared" si="1"/>
        <v>M1025 - Movie_25</v>
      </c>
      <c r="M27" t="str">
        <f t="shared" si="2"/>
        <v>Jap</v>
      </c>
      <c r="N27" t="str">
        <f t="shared" si="3"/>
        <v>15</v>
      </c>
      <c r="O27">
        <f t="shared" si="4"/>
        <v>8</v>
      </c>
      <c r="P27" t="str">
        <f t="shared" si="5"/>
        <v>Comedy</v>
      </c>
    </row>
    <row r="28" spans="1:22">
      <c r="A28" t="s">
        <v>86</v>
      </c>
      <c r="B28" t="s">
        <v>87</v>
      </c>
      <c r="C28" t="s">
        <v>18</v>
      </c>
      <c r="D28">
        <v>105</v>
      </c>
      <c r="E28">
        <v>3.9</v>
      </c>
      <c r="F28" t="s">
        <v>19</v>
      </c>
      <c r="G28">
        <v>1986</v>
      </c>
      <c r="H28" t="s">
        <v>20</v>
      </c>
      <c r="I28" s="2">
        <v>45480</v>
      </c>
      <c r="J28" t="str">
        <f t="shared" si="0"/>
        <v>Short</v>
      </c>
      <c r="K28" t="str" cm="1">
        <f t="array" ref="K28">_xlfn.IFS(E28&lt;4, "Poor", E28&lt;7, "Average", E28&lt;9, "Good", TRUE, "Excellent")</f>
        <v>Poor</v>
      </c>
      <c r="L28" t="str">
        <f t="shared" si="1"/>
        <v>M1026 - Movie_26</v>
      </c>
      <c r="M28" t="str">
        <f t="shared" si="2"/>
        <v>Jap</v>
      </c>
      <c r="N28" t="str">
        <f t="shared" si="3"/>
        <v>86</v>
      </c>
      <c r="O28">
        <f t="shared" si="4"/>
        <v>8</v>
      </c>
      <c r="P28" t="str">
        <f t="shared" si="5"/>
        <v>Horror</v>
      </c>
    </row>
    <row r="29" spans="1:22">
      <c r="A29" t="s">
        <v>88</v>
      </c>
      <c r="B29" t="s">
        <v>89</v>
      </c>
      <c r="C29" t="s">
        <v>18</v>
      </c>
      <c r="D29">
        <v>127</v>
      </c>
      <c r="E29">
        <v>2.7</v>
      </c>
      <c r="F29" t="s">
        <v>19</v>
      </c>
      <c r="G29">
        <v>2000</v>
      </c>
      <c r="H29" t="s">
        <v>25</v>
      </c>
      <c r="I29" s="2">
        <v>43952</v>
      </c>
      <c r="J29" t="str">
        <f t="shared" si="0"/>
        <v>Long</v>
      </c>
      <c r="K29" t="str" cm="1">
        <f t="array" ref="K29">_xlfn.IFS(E29&lt;4, "Poor", E29&lt;7, "Average", E29&lt;9, "Good", TRUE, "Excellent")</f>
        <v>Poor</v>
      </c>
      <c r="L29" t="str">
        <f t="shared" si="1"/>
        <v>M1027 - Movie_27</v>
      </c>
      <c r="M29" t="str">
        <f t="shared" si="2"/>
        <v>Jap</v>
      </c>
      <c r="N29" t="str">
        <f t="shared" si="3"/>
        <v>00</v>
      </c>
      <c r="O29">
        <f t="shared" si="4"/>
        <v>8</v>
      </c>
      <c r="P29" t="str">
        <f t="shared" si="5"/>
        <v>Horror</v>
      </c>
    </row>
    <row r="30" spans="1:22">
      <c r="A30" t="s">
        <v>90</v>
      </c>
      <c r="B30" t="s">
        <v>91</v>
      </c>
      <c r="C30" t="s">
        <v>18</v>
      </c>
      <c r="D30">
        <v>69</v>
      </c>
      <c r="E30">
        <v>7.3</v>
      </c>
      <c r="F30" t="s">
        <v>24</v>
      </c>
      <c r="G30">
        <v>1995</v>
      </c>
      <c r="H30" t="s">
        <v>25</v>
      </c>
      <c r="I30" s="2">
        <v>44998</v>
      </c>
      <c r="J30" t="str">
        <f t="shared" si="0"/>
        <v>Short</v>
      </c>
      <c r="K30" t="str" cm="1">
        <f t="array" ref="K30">_xlfn.IFS(E30&lt;4, "Poor", E30&lt;7, "Average", E30&lt;9, "Good", TRUE, "Excellent")</f>
        <v>Good</v>
      </c>
      <c r="L30" t="str">
        <f t="shared" si="1"/>
        <v>M1028 - Movie_28</v>
      </c>
      <c r="M30" t="str">
        <f t="shared" si="2"/>
        <v>Hin</v>
      </c>
      <c r="N30" t="str">
        <f t="shared" si="3"/>
        <v>95</v>
      </c>
      <c r="O30">
        <f t="shared" si="4"/>
        <v>8</v>
      </c>
      <c r="P30" t="str">
        <f t="shared" si="5"/>
        <v>Horror</v>
      </c>
    </row>
    <row r="31" spans="1:22">
      <c r="A31" t="s">
        <v>92</v>
      </c>
      <c r="B31" t="s">
        <v>93</v>
      </c>
      <c r="C31" t="s">
        <v>58</v>
      </c>
      <c r="D31">
        <v>87</v>
      </c>
      <c r="E31">
        <v>6.1</v>
      </c>
      <c r="F31" t="s">
        <v>35</v>
      </c>
      <c r="G31">
        <v>2009</v>
      </c>
      <c r="H31" t="s">
        <v>20</v>
      </c>
      <c r="I31" s="2">
        <v>44549</v>
      </c>
      <c r="J31" t="str">
        <f t="shared" si="0"/>
        <v>Short</v>
      </c>
      <c r="K31" t="str" cm="1">
        <f t="array" ref="K31">_xlfn.IFS(E31&lt;4, "Poor", E31&lt;7, "Average", E31&lt;9, "Good", TRUE, "Excellent")</f>
        <v>Average</v>
      </c>
      <c r="L31" t="str">
        <f t="shared" si="1"/>
        <v>M1029 - Movie_29</v>
      </c>
      <c r="M31" t="str">
        <f t="shared" si="2"/>
        <v>Eng</v>
      </c>
      <c r="N31" t="str">
        <f t="shared" si="3"/>
        <v>09</v>
      </c>
      <c r="O31">
        <f t="shared" si="4"/>
        <v>8</v>
      </c>
      <c r="P31" t="str">
        <f t="shared" si="5"/>
        <v>Sci-Fi</v>
      </c>
    </row>
    <row r="32" spans="1:22">
      <c r="A32" t="s">
        <v>94</v>
      </c>
      <c r="B32" t="s">
        <v>95</v>
      </c>
      <c r="C32" t="s">
        <v>67</v>
      </c>
      <c r="D32">
        <v>171</v>
      </c>
      <c r="E32">
        <v>3.1</v>
      </c>
      <c r="F32" t="s">
        <v>19</v>
      </c>
      <c r="G32">
        <v>1987</v>
      </c>
      <c r="H32" t="s">
        <v>25</v>
      </c>
      <c r="I32" s="2">
        <v>44921</v>
      </c>
      <c r="J32" t="str">
        <f t="shared" si="0"/>
        <v>Long</v>
      </c>
      <c r="K32" t="str" cm="1">
        <f t="array" ref="K32">_xlfn.IFS(E32&lt;4, "Poor", E32&lt;7, "Average", E32&lt;9, "Good", TRUE, "Excellent")</f>
        <v>Poor</v>
      </c>
      <c r="L32" t="str">
        <f t="shared" si="1"/>
        <v>M1030 - Movie_30</v>
      </c>
      <c r="M32" t="str">
        <f t="shared" si="2"/>
        <v>Jap</v>
      </c>
      <c r="N32" t="str">
        <f t="shared" si="3"/>
        <v>87</v>
      </c>
      <c r="O32">
        <f t="shared" si="4"/>
        <v>8</v>
      </c>
      <c r="P32" t="str">
        <f t="shared" si="5"/>
        <v>Thriller</v>
      </c>
    </row>
    <row r="33" spans="1:16">
      <c r="A33" t="s">
        <v>96</v>
      </c>
      <c r="B33" t="s">
        <v>97</v>
      </c>
      <c r="C33" t="s">
        <v>40</v>
      </c>
      <c r="D33">
        <v>148</v>
      </c>
      <c r="E33">
        <v>8</v>
      </c>
      <c r="F33" t="s">
        <v>19</v>
      </c>
      <c r="G33">
        <v>1997</v>
      </c>
      <c r="H33" t="s">
        <v>20</v>
      </c>
      <c r="I33" s="2">
        <v>44406</v>
      </c>
      <c r="J33" t="str">
        <f t="shared" si="0"/>
        <v>Long</v>
      </c>
      <c r="K33" t="str" cm="1">
        <f t="array" ref="K33">_xlfn.IFS(E33&lt;4, "Poor", E33&lt;7, "Average", E33&lt;9, "Good", TRUE, "Excellent")</f>
        <v>Good</v>
      </c>
      <c r="L33" t="str">
        <f t="shared" si="1"/>
        <v>M1031 - Movie_31</v>
      </c>
      <c r="M33" t="str">
        <f t="shared" si="2"/>
        <v>Jap</v>
      </c>
      <c r="N33" t="str">
        <f t="shared" si="3"/>
        <v>97</v>
      </c>
      <c r="O33">
        <f t="shared" si="4"/>
        <v>8</v>
      </c>
      <c r="P33" t="str">
        <f t="shared" si="5"/>
        <v>Comedy</v>
      </c>
    </row>
    <row r="34" spans="1:16">
      <c r="A34" t="s">
        <v>98</v>
      </c>
      <c r="B34" t="s">
        <v>99</v>
      </c>
      <c r="C34" t="s">
        <v>67</v>
      </c>
      <c r="D34">
        <v>140</v>
      </c>
      <c r="E34">
        <v>1.4</v>
      </c>
      <c r="F34" t="s">
        <v>61</v>
      </c>
      <c r="G34">
        <v>2008</v>
      </c>
      <c r="H34" t="s">
        <v>20</v>
      </c>
      <c r="I34" s="2">
        <v>45053</v>
      </c>
      <c r="J34" t="str">
        <f t="shared" si="0"/>
        <v>Long</v>
      </c>
      <c r="K34" t="str" cm="1">
        <f t="array" ref="K34">_xlfn.IFS(E34&lt;4, "Poor", E34&lt;7, "Average", E34&lt;9, "Good", TRUE, "Excellent")</f>
        <v>Poor</v>
      </c>
      <c r="L34" t="str">
        <f t="shared" si="1"/>
        <v>M1032 - Movie_32</v>
      </c>
      <c r="M34" t="str">
        <f t="shared" si="2"/>
        <v>Ger</v>
      </c>
      <c r="N34" t="str">
        <f t="shared" si="3"/>
        <v>08</v>
      </c>
      <c r="O34">
        <f t="shared" si="4"/>
        <v>8</v>
      </c>
      <c r="P34" t="str">
        <f t="shared" si="5"/>
        <v>Thriller</v>
      </c>
    </row>
    <row r="35" spans="1:16">
      <c r="A35" t="s">
        <v>100</v>
      </c>
      <c r="B35" t="s">
        <v>101</v>
      </c>
      <c r="C35" t="s">
        <v>58</v>
      </c>
      <c r="D35">
        <v>171</v>
      </c>
      <c r="E35">
        <v>7.7</v>
      </c>
      <c r="F35" t="s">
        <v>24</v>
      </c>
      <c r="G35">
        <v>1995</v>
      </c>
      <c r="H35" t="s">
        <v>25</v>
      </c>
      <c r="I35" s="2">
        <v>44934</v>
      </c>
      <c r="J35" t="str">
        <f t="shared" si="0"/>
        <v>Long</v>
      </c>
      <c r="K35" t="str" cm="1">
        <f t="array" ref="K35">_xlfn.IFS(E35&lt;4, "Poor", E35&lt;7, "Average", E35&lt;9, "Good", TRUE, "Excellent")</f>
        <v>Good</v>
      </c>
      <c r="L35" t="str">
        <f t="shared" si="1"/>
        <v>M1033 - Movie_33</v>
      </c>
      <c r="M35" t="str">
        <f t="shared" si="2"/>
        <v>Hin</v>
      </c>
      <c r="N35" t="str">
        <f t="shared" si="3"/>
        <v>95</v>
      </c>
      <c r="O35">
        <f t="shared" si="4"/>
        <v>8</v>
      </c>
      <c r="P35" t="str">
        <f t="shared" si="5"/>
        <v>Sci-Fi</v>
      </c>
    </row>
    <row r="36" spans="1:16">
      <c r="A36" t="s">
        <v>102</v>
      </c>
      <c r="B36" t="s">
        <v>103</v>
      </c>
      <c r="C36" t="s">
        <v>34</v>
      </c>
      <c r="D36">
        <v>190</v>
      </c>
      <c r="E36">
        <v>7.3</v>
      </c>
      <c r="F36" t="s">
        <v>31</v>
      </c>
      <c r="G36">
        <v>1989</v>
      </c>
      <c r="H36" t="s">
        <v>25</v>
      </c>
      <c r="I36" s="2">
        <v>44175</v>
      </c>
      <c r="J36" t="str">
        <f t="shared" si="0"/>
        <v>Long</v>
      </c>
      <c r="K36" t="str" cm="1">
        <f t="array" ref="K36">_xlfn.IFS(E36&lt;4, "Poor", E36&lt;7, "Average", E36&lt;9, "Good", TRUE, "Excellent")</f>
        <v>Good</v>
      </c>
      <c r="L36" t="str">
        <f t="shared" si="1"/>
        <v>M1034 - Movie_34</v>
      </c>
      <c r="M36" t="str">
        <f t="shared" si="2"/>
        <v>Fre</v>
      </c>
      <c r="N36" t="str">
        <f t="shared" si="3"/>
        <v>89</v>
      </c>
      <c r="O36">
        <f t="shared" si="4"/>
        <v>8</v>
      </c>
      <c r="P36" t="str">
        <f t="shared" si="5"/>
        <v>Drama</v>
      </c>
    </row>
    <row r="37" spans="1:16">
      <c r="A37" t="s">
        <v>104</v>
      </c>
      <c r="B37" t="s">
        <v>105</v>
      </c>
      <c r="C37" t="s">
        <v>23</v>
      </c>
      <c r="D37">
        <v>89</v>
      </c>
      <c r="E37">
        <v>8.3000000000000007</v>
      </c>
      <c r="F37" t="s">
        <v>35</v>
      </c>
      <c r="G37">
        <v>1986</v>
      </c>
      <c r="H37" t="s">
        <v>25</v>
      </c>
      <c r="I37" s="2">
        <v>44493</v>
      </c>
      <c r="J37" t="str">
        <f t="shared" si="0"/>
        <v>Short</v>
      </c>
      <c r="K37" t="str" cm="1">
        <f t="array" ref="K37">_xlfn.IFS(E37&lt;4, "Poor", E37&lt;7, "Average", E37&lt;9, "Good", TRUE, "Excellent")</f>
        <v>Good</v>
      </c>
      <c r="L37" t="str">
        <f t="shared" si="1"/>
        <v>M1035 - Movie_35</v>
      </c>
      <c r="M37" t="str">
        <f t="shared" si="2"/>
        <v>Eng</v>
      </c>
      <c r="N37" t="str">
        <f t="shared" si="3"/>
        <v>86</v>
      </c>
      <c r="O37">
        <f t="shared" si="4"/>
        <v>8</v>
      </c>
      <c r="P37" t="str">
        <f t="shared" si="5"/>
        <v>Action</v>
      </c>
    </row>
    <row r="38" spans="1:16">
      <c r="A38" t="s">
        <v>106</v>
      </c>
      <c r="B38" t="s">
        <v>107</v>
      </c>
      <c r="C38" t="s">
        <v>40</v>
      </c>
      <c r="D38">
        <v>158</v>
      </c>
      <c r="E38">
        <v>4.5</v>
      </c>
      <c r="F38" t="s">
        <v>31</v>
      </c>
      <c r="G38">
        <v>1983</v>
      </c>
      <c r="H38" t="s">
        <v>20</v>
      </c>
      <c r="I38" s="2">
        <v>45272</v>
      </c>
      <c r="J38" t="str">
        <f t="shared" si="0"/>
        <v>Long</v>
      </c>
      <c r="K38" t="str" cm="1">
        <f t="array" ref="K38">_xlfn.IFS(E38&lt;4, "Poor", E38&lt;7, "Average", E38&lt;9, "Good", TRUE, "Excellent")</f>
        <v>Average</v>
      </c>
      <c r="L38" t="str">
        <f t="shared" si="1"/>
        <v>M1036 - Movie_36</v>
      </c>
      <c r="M38" t="str">
        <f t="shared" si="2"/>
        <v>Fre</v>
      </c>
      <c r="N38" t="str">
        <f t="shared" si="3"/>
        <v>83</v>
      </c>
      <c r="O38">
        <f t="shared" si="4"/>
        <v>8</v>
      </c>
      <c r="P38" t="str">
        <f t="shared" si="5"/>
        <v>Comedy</v>
      </c>
    </row>
    <row r="39" spans="1:16">
      <c r="A39" t="s">
        <v>108</v>
      </c>
      <c r="B39" t="s">
        <v>109</v>
      </c>
      <c r="C39" t="s">
        <v>18</v>
      </c>
      <c r="D39">
        <v>108</v>
      </c>
      <c r="E39">
        <v>7</v>
      </c>
      <c r="F39" t="s">
        <v>31</v>
      </c>
      <c r="G39">
        <v>1998</v>
      </c>
      <c r="H39" t="s">
        <v>20</v>
      </c>
      <c r="I39" s="2">
        <v>44430</v>
      </c>
      <c r="J39" t="str">
        <f t="shared" si="0"/>
        <v>Short</v>
      </c>
      <c r="K39" t="str" cm="1">
        <f t="array" ref="K39">_xlfn.IFS(E39&lt;4, "Poor", E39&lt;7, "Average", E39&lt;9, "Good", TRUE, "Excellent")</f>
        <v>Good</v>
      </c>
      <c r="L39" t="str">
        <f t="shared" si="1"/>
        <v>M1037 - Movie_37</v>
      </c>
      <c r="M39" t="str">
        <f t="shared" si="2"/>
        <v>Fre</v>
      </c>
      <c r="N39" t="str">
        <f t="shared" si="3"/>
        <v>98</v>
      </c>
      <c r="O39">
        <f t="shared" si="4"/>
        <v>8</v>
      </c>
      <c r="P39" t="str">
        <f t="shared" si="5"/>
        <v>Horror</v>
      </c>
    </row>
    <row r="40" spans="1:16">
      <c r="A40" t="s">
        <v>110</v>
      </c>
      <c r="B40" t="s">
        <v>111</v>
      </c>
      <c r="C40" t="s">
        <v>67</v>
      </c>
      <c r="D40">
        <v>125</v>
      </c>
      <c r="E40">
        <v>8.4</v>
      </c>
      <c r="F40" t="s">
        <v>28</v>
      </c>
      <c r="G40">
        <v>2004</v>
      </c>
      <c r="H40" t="s">
        <v>25</v>
      </c>
      <c r="I40" s="2">
        <v>44423</v>
      </c>
      <c r="J40" t="str">
        <f t="shared" si="0"/>
        <v>Long</v>
      </c>
      <c r="K40" t="str" cm="1">
        <f t="array" ref="K40">_xlfn.IFS(E40&lt;4, "Poor", E40&lt;7, "Average", E40&lt;9, "Good", TRUE, "Excellent")</f>
        <v>Good</v>
      </c>
      <c r="L40" t="str">
        <f t="shared" si="1"/>
        <v>M1038 - Movie_38</v>
      </c>
      <c r="M40" t="str">
        <f t="shared" si="2"/>
        <v>Spa</v>
      </c>
      <c r="N40" t="str">
        <f t="shared" si="3"/>
        <v>04</v>
      </c>
      <c r="O40">
        <f t="shared" si="4"/>
        <v>8</v>
      </c>
      <c r="P40" t="str">
        <f t="shared" si="5"/>
        <v>Thriller</v>
      </c>
    </row>
    <row r="41" spans="1:16">
      <c r="A41" t="s">
        <v>112</v>
      </c>
      <c r="B41" t="s">
        <v>113</v>
      </c>
      <c r="C41" t="s">
        <v>34</v>
      </c>
      <c r="D41">
        <v>71</v>
      </c>
      <c r="E41">
        <v>9.8000000000000007</v>
      </c>
      <c r="F41" t="s">
        <v>28</v>
      </c>
      <c r="G41">
        <v>2019</v>
      </c>
      <c r="H41" t="s">
        <v>25</v>
      </c>
      <c r="I41" s="2">
        <v>45003</v>
      </c>
      <c r="J41" t="str">
        <f t="shared" si="0"/>
        <v>Short</v>
      </c>
      <c r="K41" t="str" cm="1">
        <f t="array" ref="K41">_xlfn.IFS(E41&lt;4, "Poor", E41&lt;7, "Average", E41&lt;9, "Good", TRUE, "Excellent")</f>
        <v>Excellent</v>
      </c>
      <c r="L41" t="str">
        <f t="shared" si="1"/>
        <v>M1039 - Movie_39</v>
      </c>
      <c r="M41" t="str">
        <f t="shared" si="2"/>
        <v>Spa</v>
      </c>
      <c r="N41" t="str">
        <f t="shared" si="3"/>
        <v>19</v>
      </c>
      <c r="O41">
        <f t="shared" si="4"/>
        <v>8</v>
      </c>
      <c r="P41" t="str">
        <f t="shared" si="5"/>
        <v>Drama</v>
      </c>
    </row>
    <row r="42" spans="1:16">
      <c r="A42" t="s">
        <v>114</v>
      </c>
      <c r="B42" t="s">
        <v>115</v>
      </c>
      <c r="C42" t="s">
        <v>34</v>
      </c>
      <c r="D42">
        <v>171</v>
      </c>
      <c r="E42">
        <v>5.5</v>
      </c>
      <c r="F42" t="s">
        <v>31</v>
      </c>
      <c r="G42">
        <v>2006</v>
      </c>
      <c r="H42" t="s">
        <v>20</v>
      </c>
      <c r="I42" s="2">
        <v>44378</v>
      </c>
      <c r="J42" t="str">
        <f t="shared" si="0"/>
        <v>Long</v>
      </c>
      <c r="K42" t="str" cm="1">
        <f t="array" ref="K42">_xlfn.IFS(E42&lt;4, "Poor", E42&lt;7, "Average", E42&lt;9, "Good", TRUE, "Excellent")</f>
        <v>Average</v>
      </c>
      <c r="L42" t="str">
        <f t="shared" si="1"/>
        <v>M1040 - Movie_40</v>
      </c>
      <c r="M42" t="str">
        <f t="shared" si="2"/>
        <v>Fre</v>
      </c>
      <c r="N42" t="str">
        <f t="shared" si="3"/>
        <v>06</v>
      </c>
      <c r="O42">
        <f t="shared" si="4"/>
        <v>8</v>
      </c>
      <c r="P42" t="str">
        <f t="shared" si="5"/>
        <v>Drama</v>
      </c>
    </row>
    <row r="43" spans="1:16">
      <c r="A43" t="s">
        <v>116</v>
      </c>
      <c r="B43" t="s">
        <v>117</v>
      </c>
      <c r="C43" t="s">
        <v>40</v>
      </c>
      <c r="D43">
        <v>60</v>
      </c>
      <c r="E43">
        <v>1.3</v>
      </c>
      <c r="F43" t="s">
        <v>61</v>
      </c>
      <c r="G43">
        <v>1995</v>
      </c>
      <c r="H43" t="s">
        <v>25</v>
      </c>
      <c r="I43" s="2">
        <v>44884</v>
      </c>
      <c r="J43" t="str">
        <f t="shared" si="0"/>
        <v>Short</v>
      </c>
      <c r="K43" t="str" cm="1">
        <f t="array" ref="K43">_xlfn.IFS(E43&lt;4, "Poor", E43&lt;7, "Average", E43&lt;9, "Good", TRUE, "Excellent")</f>
        <v>Poor</v>
      </c>
      <c r="L43" t="str">
        <f t="shared" si="1"/>
        <v>M1041 - Movie_41</v>
      </c>
      <c r="M43" t="str">
        <f t="shared" si="2"/>
        <v>Ger</v>
      </c>
      <c r="N43" t="str">
        <f t="shared" si="3"/>
        <v>95</v>
      </c>
      <c r="O43">
        <f t="shared" si="4"/>
        <v>8</v>
      </c>
      <c r="P43" t="str">
        <f t="shared" si="5"/>
        <v>Comedy</v>
      </c>
    </row>
    <row r="44" spans="1:16">
      <c r="A44" t="s">
        <v>118</v>
      </c>
      <c r="B44" t="s">
        <v>119</v>
      </c>
      <c r="C44" t="s">
        <v>40</v>
      </c>
      <c r="D44">
        <v>193</v>
      </c>
      <c r="E44">
        <v>5.5</v>
      </c>
      <c r="F44" t="s">
        <v>28</v>
      </c>
      <c r="G44">
        <v>1990</v>
      </c>
      <c r="H44" t="s">
        <v>25</v>
      </c>
      <c r="I44" s="2">
        <v>45222</v>
      </c>
      <c r="J44" t="str">
        <f t="shared" si="0"/>
        <v>Long</v>
      </c>
      <c r="K44" t="str" cm="1">
        <f t="array" ref="K44">_xlfn.IFS(E44&lt;4, "Poor", E44&lt;7, "Average", E44&lt;9, "Good", TRUE, "Excellent")</f>
        <v>Average</v>
      </c>
      <c r="L44" t="str">
        <f t="shared" si="1"/>
        <v>M1042 - Movie_42</v>
      </c>
      <c r="M44" t="str">
        <f t="shared" si="2"/>
        <v>Spa</v>
      </c>
      <c r="N44" t="str">
        <f t="shared" si="3"/>
        <v>90</v>
      </c>
      <c r="O44">
        <f t="shared" si="4"/>
        <v>8</v>
      </c>
      <c r="P44" t="str">
        <f t="shared" si="5"/>
        <v>Comedy</v>
      </c>
    </row>
    <row r="45" spans="1:16">
      <c r="A45" t="s">
        <v>120</v>
      </c>
      <c r="B45" t="s">
        <v>121</v>
      </c>
      <c r="C45" t="s">
        <v>34</v>
      </c>
      <c r="D45">
        <v>197</v>
      </c>
      <c r="E45">
        <v>6.3</v>
      </c>
      <c r="F45" t="s">
        <v>28</v>
      </c>
      <c r="G45">
        <v>2000</v>
      </c>
      <c r="H45" t="s">
        <v>25</v>
      </c>
      <c r="I45" s="2">
        <v>45500</v>
      </c>
      <c r="J45" t="str">
        <f t="shared" si="0"/>
        <v>Long</v>
      </c>
      <c r="K45" t="str" cm="1">
        <f t="array" ref="K45">_xlfn.IFS(E45&lt;4, "Poor", E45&lt;7, "Average", E45&lt;9, "Good", TRUE, "Excellent")</f>
        <v>Average</v>
      </c>
      <c r="L45" t="str">
        <f t="shared" si="1"/>
        <v>M1043 - Movie_43</v>
      </c>
      <c r="M45" t="str">
        <f t="shared" si="2"/>
        <v>Spa</v>
      </c>
      <c r="N45" t="str">
        <f t="shared" si="3"/>
        <v>00</v>
      </c>
      <c r="O45">
        <f t="shared" si="4"/>
        <v>8</v>
      </c>
      <c r="P45" t="str">
        <f t="shared" si="5"/>
        <v>Drama</v>
      </c>
    </row>
    <row r="46" spans="1:16">
      <c r="A46" t="s">
        <v>122</v>
      </c>
      <c r="B46" t="s">
        <v>123</v>
      </c>
      <c r="C46" t="s">
        <v>23</v>
      </c>
      <c r="D46">
        <v>110</v>
      </c>
      <c r="E46">
        <v>8.8000000000000007</v>
      </c>
      <c r="F46" t="s">
        <v>28</v>
      </c>
      <c r="G46">
        <v>2016</v>
      </c>
      <c r="H46" t="s">
        <v>25</v>
      </c>
      <c r="I46" s="2">
        <v>44026</v>
      </c>
      <c r="J46" t="str">
        <f t="shared" si="0"/>
        <v>Short</v>
      </c>
      <c r="K46" t="str" cm="1">
        <f t="array" ref="K46">_xlfn.IFS(E46&lt;4, "Poor", E46&lt;7, "Average", E46&lt;9, "Good", TRUE, "Excellent")</f>
        <v>Good</v>
      </c>
      <c r="L46" t="str">
        <f t="shared" si="1"/>
        <v>M1044 - Movie_44</v>
      </c>
      <c r="M46" t="str">
        <f t="shared" si="2"/>
        <v>Spa</v>
      </c>
      <c r="N46" t="str">
        <f t="shared" si="3"/>
        <v>16</v>
      </c>
      <c r="O46">
        <f t="shared" si="4"/>
        <v>8</v>
      </c>
      <c r="P46" t="str">
        <f t="shared" si="5"/>
        <v>Action</v>
      </c>
    </row>
    <row r="47" spans="1:16">
      <c r="A47" t="s">
        <v>124</v>
      </c>
      <c r="B47" t="s">
        <v>125</v>
      </c>
      <c r="C47" t="s">
        <v>23</v>
      </c>
      <c r="D47">
        <v>153</v>
      </c>
      <c r="E47">
        <v>8.9</v>
      </c>
      <c r="F47" t="s">
        <v>28</v>
      </c>
      <c r="G47">
        <v>2000</v>
      </c>
      <c r="H47" t="s">
        <v>25</v>
      </c>
      <c r="I47" s="2">
        <v>44108</v>
      </c>
      <c r="J47" t="str">
        <f t="shared" si="0"/>
        <v>Long</v>
      </c>
      <c r="K47" t="str" cm="1">
        <f t="array" ref="K47">_xlfn.IFS(E47&lt;4, "Poor", E47&lt;7, "Average", E47&lt;9, "Good", TRUE, "Excellent")</f>
        <v>Good</v>
      </c>
      <c r="L47" t="str">
        <f t="shared" si="1"/>
        <v>M1045 - Movie_45</v>
      </c>
      <c r="M47" t="str">
        <f t="shared" si="2"/>
        <v>Spa</v>
      </c>
      <c r="N47" t="str">
        <f t="shared" si="3"/>
        <v>00</v>
      </c>
      <c r="O47">
        <f t="shared" si="4"/>
        <v>8</v>
      </c>
      <c r="P47" t="str">
        <f t="shared" si="5"/>
        <v>Action</v>
      </c>
    </row>
    <row r="48" spans="1:16">
      <c r="A48" t="s">
        <v>126</v>
      </c>
      <c r="B48" t="s">
        <v>127</v>
      </c>
      <c r="C48" t="s">
        <v>67</v>
      </c>
      <c r="D48">
        <v>170</v>
      </c>
      <c r="E48">
        <v>5</v>
      </c>
      <c r="F48" t="s">
        <v>35</v>
      </c>
      <c r="G48">
        <v>1992</v>
      </c>
      <c r="H48" t="s">
        <v>20</v>
      </c>
      <c r="I48" s="2">
        <v>45367</v>
      </c>
      <c r="J48" t="str">
        <f t="shared" si="0"/>
        <v>Long</v>
      </c>
      <c r="K48" t="str" cm="1">
        <f t="array" ref="K48">_xlfn.IFS(E48&lt;4, "Poor", E48&lt;7, "Average", E48&lt;9, "Good", TRUE, "Excellent")</f>
        <v>Average</v>
      </c>
      <c r="L48" t="str">
        <f t="shared" si="1"/>
        <v>M1046 - Movie_46</v>
      </c>
      <c r="M48" t="str">
        <f t="shared" si="2"/>
        <v>Eng</v>
      </c>
      <c r="N48" t="str">
        <f t="shared" si="3"/>
        <v>92</v>
      </c>
      <c r="O48">
        <f t="shared" si="4"/>
        <v>8</v>
      </c>
      <c r="P48" t="str">
        <f t="shared" si="5"/>
        <v>Thriller</v>
      </c>
    </row>
    <row r="49" spans="1:16">
      <c r="A49" t="s">
        <v>128</v>
      </c>
      <c r="B49" t="s">
        <v>129</v>
      </c>
      <c r="C49" t="s">
        <v>23</v>
      </c>
      <c r="D49">
        <v>77</v>
      </c>
      <c r="E49">
        <v>5.7</v>
      </c>
      <c r="F49" t="s">
        <v>31</v>
      </c>
      <c r="G49">
        <v>1990</v>
      </c>
      <c r="H49" t="s">
        <v>25</v>
      </c>
      <c r="I49" s="2">
        <v>45440</v>
      </c>
      <c r="J49" t="str">
        <f t="shared" si="0"/>
        <v>Short</v>
      </c>
      <c r="K49" t="str" cm="1">
        <f t="array" ref="K49">_xlfn.IFS(E49&lt;4, "Poor", E49&lt;7, "Average", E49&lt;9, "Good", TRUE, "Excellent")</f>
        <v>Average</v>
      </c>
      <c r="L49" t="str">
        <f t="shared" si="1"/>
        <v>M1047 - Movie_47</v>
      </c>
      <c r="M49" t="str">
        <f t="shared" si="2"/>
        <v>Fre</v>
      </c>
      <c r="N49" t="str">
        <f t="shared" si="3"/>
        <v>90</v>
      </c>
      <c r="O49">
        <f t="shared" si="4"/>
        <v>8</v>
      </c>
      <c r="P49" t="str">
        <f t="shared" si="5"/>
        <v>Action</v>
      </c>
    </row>
    <row r="50" spans="1:16">
      <c r="A50" t="s">
        <v>130</v>
      </c>
      <c r="B50" t="s">
        <v>131</v>
      </c>
      <c r="C50" t="s">
        <v>34</v>
      </c>
      <c r="D50">
        <v>144</v>
      </c>
      <c r="E50">
        <v>5.0999999999999996</v>
      </c>
      <c r="F50" t="s">
        <v>35</v>
      </c>
      <c r="G50">
        <v>2011</v>
      </c>
      <c r="H50" t="s">
        <v>25</v>
      </c>
      <c r="I50" s="2">
        <v>44673</v>
      </c>
      <c r="J50" t="str">
        <f t="shared" si="0"/>
        <v>Long</v>
      </c>
      <c r="K50" t="str" cm="1">
        <f t="array" ref="K50">_xlfn.IFS(E50&lt;4, "Poor", E50&lt;7, "Average", E50&lt;9, "Good", TRUE, "Excellent")</f>
        <v>Average</v>
      </c>
      <c r="L50" t="str">
        <f t="shared" si="1"/>
        <v>M1048 - Movie_48</v>
      </c>
      <c r="M50" t="str">
        <f t="shared" si="2"/>
        <v>Eng</v>
      </c>
      <c r="N50" t="str">
        <f t="shared" si="3"/>
        <v>11</v>
      </c>
      <c r="O50">
        <f t="shared" si="4"/>
        <v>8</v>
      </c>
      <c r="P50" t="str">
        <f t="shared" si="5"/>
        <v>Drama</v>
      </c>
    </row>
    <row r="51" spans="1:16">
      <c r="A51" t="s">
        <v>132</v>
      </c>
      <c r="B51" t="s">
        <v>133</v>
      </c>
      <c r="C51" t="s">
        <v>34</v>
      </c>
      <c r="D51">
        <v>140</v>
      </c>
      <c r="E51">
        <v>7.5</v>
      </c>
      <c r="F51" t="s">
        <v>24</v>
      </c>
      <c r="G51">
        <v>2012</v>
      </c>
      <c r="H51" t="s">
        <v>20</v>
      </c>
      <c r="I51" s="2">
        <v>43952</v>
      </c>
      <c r="J51" t="str">
        <f t="shared" si="0"/>
        <v>Long</v>
      </c>
      <c r="K51" t="str" cm="1">
        <f t="array" ref="K51">_xlfn.IFS(E51&lt;4, "Poor", E51&lt;7, "Average", E51&lt;9, "Good", TRUE, "Excellent")</f>
        <v>Good</v>
      </c>
      <c r="L51" t="str">
        <f t="shared" si="1"/>
        <v>M1049 - Movie_49</v>
      </c>
      <c r="M51" t="str">
        <f t="shared" si="2"/>
        <v>Hin</v>
      </c>
      <c r="N51" t="str">
        <f t="shared" si="3"/>
        <v>12</v>
      </c>
      <c r="O51">
        <f t="shared" si="4"/>
        <v>8</v>
      </c>
      <c r="P51" t="str">
        <f t="shared" si="5"/>
        <v>Drama</v>
      </c>
    </row>
    <row r="52" spans="1:16">
      <c r="A52" t="s">
        <v>134</v>
      </c>
      <c r="B52" t="s">
        <v>135</v>
      </c>
      <c r="C52" t="s">
        <v>58</v>
      </c>
      <c r="D52">
        <v>91</v>
      </c>
      <c r="E52">
        <v>4.7</v>
      </c>
      <c r="F52" t="s">
        <v>24</v>
      </c>
      <c r="G52">
        <v>2009</v>
      </c>
      <c r="H52" t="s">
        <v>25</v>
      </c>
      <c r="I52" s="2">
        <v>44398</v>
      </c>
      <c r="J52" t="str">
        <f t="shared" si="0"/>
        <v>Short</v>
      </c>
      <c r="K52" t="str" cm="1">
        <f t="array" ref="K52">_xlfn.IFS(E52&lt;4, "Poor", E52&lt;7, "Average", E52&lt;9, "Good", TRUE, "Excellent")</f>
        <v>Average</v>
      </c>
      <c r="L52" t="str">
        <f t="shared" si="1"/>
        <v>M1050 - Movie_50</v>
      </c>
      <c r="M52" t="str">
        <f t="shared" si="2"/>
        <v>Hin</v>
      </c>
      <c r="N52" t="str">
        <f t="shared" si="3"/>
        <v>09</v>
      </c>
      <c r="O52">
        <f t="shared" si="4"/>
        <v>8</v>
      </c>
      <c r="P52" t="str">
        <f t="shared" si="5"/>
        <v>Sci-Fi</v>
      </c>
    </row>
    <row r="53" spans="1:16">
      <c r="A53" t="s">
        <v>136</v>
      </c>
      <c r="B53" t="s">
        <v>137</v>
      </c>
      <c r="C53" t="s">
        <v>34</v>
      </c>
      <c r="D53">
        <v>136</v>
      </c>
      <c r="E53">
        <v>6.9</v>
      </c>
      <c r="F53" t="s">
        <v>19</v>
      </c>
      <c r="G53">
        <v>2011</v>
      </c>
      <c r="H53" t="s">
        <v>20</v>
      </c>
      <c r="I53" s="2">
        <v>45174</v>
      </c>
      <c r="J53" t="str">
        <f t="shared" si="0"/>
        <v>Long</v>
      </c>
      <c r="K53" t="str" cm="1">
        <f t="array" ref="K53">_xlfn.IFS(E53&lt;4, "Poor", E53&lt;7, "Average", E53&lt;9, "Good", TRUE, "Excellent")</f>
        <v>Average</v>
      </c>
      <c r="L53" t="str">
        <f t="shared" si="1"/>
        <v>M1051 - Movie_51</v>
      </c>
      <c r="M53" t="str">
        <f t="shared" si="2"/>
        <v>Jap</v>
      </c>
      <c r="N53" t="str">
        <f t="shared" si="3"/>
        <v>11</v>
      </c>
      <c r="O53">
        <f t="shared" si="4"/>
        <v>8</v>
      </c>
      <c r="P53" t="str">
        <f t="shared" si="5"/>
        <v>Drama</v>
      </c>
    </row>
    <row r="54" spans="1:16">
      <c r="A54" t="s">
        <v>138</v>
      </c>
      <c r="B54" t="s">
        <v>139</v>
      </c>
      <c r="C54" t="s">
        <v>23</v>
      </c>
      <c r="D54">
        <v>189</v>
      </c>
      <c r="E54">
        <v>2.4</v>
      </c>
      <c r="F54" t="s">
        <v>24</v>
      </c>
      <c r="G54">
        <v>1999</v>
      </c>
      <c r="H54" t="s">
        <v>20</v>
      </c>
      <c r="I54" s="2">
        <v>44090</v>
      </c>
      <c r="J54" t="str">
        <f t="shared" si="0"/>
        <v>Long</v>
      </c>
      <c r="K54" t="str" cm="1">
        <f t="array" ref="K54">_xlfn.IFS(E54&lt;4, "Poor", E54&lt;7, "Average", E54&lt;9, "Good", TRUE, "Excellent")</f>
        <v>Poor</v>
      </c>
      <c r="L54" t="str">
        <f t="shared" si="1"/>
        <v>M1052 - Movie_52</v>
      </c>
      <c r="M54" t="str">
        <f t="shared" si="2"/>
        <v>Hin</v>
      </c>
      <c r="N54" t="str">
        <f t="shared" si="3"/>
        <v>99</v>
      </c>
      <c r="O54">
        <f t="shared" si="4"/>
        <v>8</v>
      </c>
      <c r="P54" t="str">
        <f t="shared" si="5"/>
        <v>Action</v>
      </c>
    </row>
    <row r="55" spans="1:16">
      <c r="A55" t="s">
        <v>140</v>
      </c>
      <c r="B55" t="s">
        <v>141</v>
      </c>
      <c r="C55" t="s">
        <v>18</v>
      </c>
      <c r="D55">
        <v>139</v>
      </c>
      <c r="E55">
        <v>5.2</v>
      </c>
      <c r="F55" t="s">
        <v>35</v>
      </c>
      <c r="G55">
        <v>2011</v>
      </c>
      <c r="H55" t="s">
        <v>25</v>
      </c>
      <c r="I55" s="2">
        <v>45267</v>
      </c>
      <c r="J55" t="str">
        <f t="shared" si="0"/>
        <v>Long</v>
      </c>
      <c r="K55" t="str" cm="1">
        <f t="array" ref="K55">_xlfn.IFS(E55&lt;4, "Poor", E55&lt;7, "Average", E55&lt;9, "Good", TRUE, "Excellent")</f>
        <v>Average</v>
      </c>
      <c r="L55" t="str">
        <f t="shared" si="1"/>
        <v>M1053 - Movie_53</v>
      </c>
      <c r="M55" t="str">
        <f t="shared" si="2"/>
        <v>Eng</v>
      </c>
      <c r="N55" t="str">
        <f t="shared" si="3"/>
        <v>11</v>
      </c>
      <c r="O55">
        <f t="shared" si="4"/>
        <v>8</v>
      </c>
      <c r="P55" t="str">
        <f t="shared" si="5"/>
        <v>Horror</v>
      </c>
    </row>
    <row r="56" spans="1:16">
      <c r="A56" t="s">
        <v>142</v>
      </c>
      <c r="B56" t="s">
        <v>143</v>
      </c>
      <c r="C56" t="s">
        <v>67</v>
      </c>
      <c r="D56">
        <v>164</v>
      </c>
      <c r="E56">
        <v>9.6999999999999993</v>
      </c>
      <c r="F56" t="s">
        <v>19</v>
      </c>
      <c r="G56">
        <v>1981</v>
      </c>
      <c r="H56" t="s">
        <v>20</v>
      </c>
      <c r="I56" s="2">
        <v>44102</v>
      </c>
      <c r="J56" t="str">
        <f t="shared" si="0"/>
        <v>Long</v>
      </c>
      <c r="K56" t="str" cm="1">
        <f t="array" ref="K56">_xlfn.IFS(E56&lt;4, "Poor", E56&lt;7, "Average", E56&lt;9, "Good", TRUE, "Excellent")</f>
        <v>Excellent</v>
      </c>
      <c r="L56" t="str">
        <f t="shared" si="1"/>
        <v>M1054 - Movie_54</v>
      </c>
      <c r="M56" t="str">
        <f t="shared" si="2"/>
        <v>Jap</v>
      </c>
      <c r="N56" t="str">
        <f t="shared" si="3"/>
        <v>81</v>
      </c>
      <c r="O56">
        <f t="shared" si="4"/>
        <v>8</v>
      </c>
      <c r="P56" t="str">
        <f t="shared" si="5"/>
        <v>Thriller</v>
      </c>
    </row>
    <row r="57" spans="1:16">
      <c r="A57" t="s">
        <v>144</v>
      </c>
      <c r="B57" t="s">
        <v>145</v>
      </c>
      <c r="C57" t="s">
        <v>58</v>
      </c>
      <c r="D57">
        <v>143</v>
      </c>
      <c r="E57">
        <v>4</v>
      </c>
      <c r="F57" t="s">
        <v>31</v>
      </c>
      <c r="G57">
        <v>1985</v>
      </c>
      <c r="H57" t="s">
        <v>25</v>
      </c>
      <c r="I57" s="2">
        <v>44342</v>
      </c>
      <c r="J57" t="str">
        <f t="shared" si="0"/>
        <v>Long</v>
      </c>
      <c r="K57" t="str" cm="1">
        <f t="array" ref="K57">_xlfn.IFS(E57&lt;4, "Poor", E57&lt;7, "Average", E57&lt;9, "Good", TRUE, "Excellent")</f>
        <v>Average</v>
      </c>
      <c r="L57" t="str">
        <f t="shared" si="1"/>
        <v>M1055 - Movie_55</v>
      </c>
      <c r="M57" t="str">
        <f t="shared" si="2"/>
        <v>Fre</v>
      </c>
      <c r="N57" t="str">
        <f t="shared" si="3"/>
        <v>85</v>
      </c>
      <c r="O57">
        <f t="shared" si="4"/>
        <v>8</v>
      </c>
      <c r="P57" t="str">
        <f t="shared" si="5"/>
        <v>Sci-Fi</v>
      </c>
    </row>
    <row r="58" spans="1:16">
      <c r="A58" t="s">
        <v>146</v>
      </c>
      <c r="B58" t="s">
        <v>147</v>
      </c>
      <c r="C58" t="s">
        <v>23</v>
      </c>
      <c r="D58">
        <v>163</v>
      </c>
      <c r="E58">
        <v>7.2</v>
      </c>
      <c r="F58" t="s">
        <v>24</v>
      </c>
      <c r="G58">
        <v>2005</v>
      </c>
      <c r="H58" t="s">
        <v>20</v>
      </c>
      <c r="I58" s="2">
        <v>44130</v>
      </c>
      <c r="J58" t="str">
        <f t="shared" si="0"/>
        <v>Long</v>
      </c>
      <c r="K58" t="str" cm="1">
        <f t="array" ref="K58">_xlfn.IFS(E58&lt;4, "Poor", E58&lt;7, "Average", E58&lt;9, "Good", TRUE, "Excellent")</f>
        <v>Good</v>
      </c>
      <c r="L58" t="str">
        <f t="shared" si="1"/>
        <v>M1056 - Movie_56</v>
      </c>
      <c r="M58" t="str">
        <f t="shared" si="2"/>
        <v>Hin</v>
      </c>
      <c r="N58" t="str">
        <f t="shared" si="3"/>
        <v>05</v>
      </c>
      <c r="O58">
        <f t="shared" si="4"/>
        <v>8</v>
      </c>
      <c r="P58" t="str">
        <f t="shared" si="5"/>
        <v>Action</v>
      </c>
    </row>
    <row r="59" spans="1:16">
      <c r="A59" t="s">
        <v>148</v>
      </c>
      <c r="B59" t="s">
        <v>149</v>
      </c>
      <c r="C59" t="s">
        <v>67</v>
      </c>
      <c r="D59">
        <v>135</v>
      </c>
      <c r="E59">
        <v>6.8</v>
      </c>
      <c r="F59" t="s">
        <v>28</v>
      </c>
      <c r="G59">
        <v>2012</v>
      </c>
      <c r="H59" t="s">
        <v>25</v>
      </c>
      <c r="I59" s="2">
        <v>45287</v>
      </c>
      <c r="J59" t="str">
        <f t="shared" si="0"/>
        <v>Long</v>
      </c>
      <c r="K59" t="str" cm="1">
        <f t="array" ref="K59">_xlfn.IFS(E59&lt;4, "Poor", E59&lt;7, "Average", E59&lt;9, "Good", TRUE, "Excellent")</f>
        <v>Average</v>
      </c>
      <c r="L59" t="str">
        <f t="shared" si="1"/>
        <v>M1057 - Movie_57</v>
      </c>
      <c r="M59" t="str">
        <f t="shared" si="2"/>
        <v>Spa</v>
      </c>
      <c r="N59" t="str">
        <f t="shared" si="3"/>
        <v>12</v>
      </c>
      <c r="O59">
        <f t="shared" si="4"/>
        <v>8</v>
      </c>
      <c r="P59" t="str">
        <f t="shared" si="5"/>
        <v>Thriller</v>
      </c>
    </row>
    <row r="60" spans="1:16">
      <c r="A60" t="s">
        <v>150</v>
      </c>
      <c r="B60" t="s">
        <v>151</v>
      </c>
      <c r="C60" t="s">
        <v>23</v>
      </c>
      <c r="D60">
        <v>92</v>
      </c>
      <c r="E60">
        <v>8.6999999999999993</v>
      </c>
      <c r="F60" t="s">
        <v>24</v>
      </c>
      <c r="G60">
        <v>2009</v>
      </c>
      <c r="H60" t="s">
        <v>25</v>
      </c>
      <c r="I60" s="2">
        <v>44490</v>
      </c>
      <c r="J60" t="str">
        <f t="shared" si="0"/>
        <v>Short</v>
      </c>
      <c r="K60" t="str" cm="1">
        <f t="array" ref="K60">_xlfn.IFS(E60&lt;4, "Poor", E60&lt;7, "Average", E60&lt;9, "Good", TRUE, "Excellent")</f>
        <v>Good</v>
      </c>
      <c r="L60" t="str">
        <f t="shared" si="1"/>
        <v>M1058 - Movie_58</v>
      </c>
      <c r="M60" t="str">
        <f t="shared" si="2"/>
        <v>Hin</v>
      </c>
      <c r="N60" t="str">
        <f t="shared" si="3"/>
        <v>09</v>
      </c>
      <c r="O60">
        <f t="shared" si="4"/>
        <v>8</v>
      </c>
      <c r="P60" t="str">
        <f t="shared" si="5"/>
        <v>Action</v>
      </c>
    </row>
    <row r="61" spans="1:16">
      <c r="A61" t="s">
        <v>152</v>
      </c>
      <c r="B61" t="s">
        <v>153</v>
      </c>
      <c r="C61" t="s">
        <v>58</v>
      </c>
      <c r="D61">
        <v>109</v>
      </c>
      <c r="E61">
        <v>8.6999999999999993</v>
      </c>
      <c r="F61" t="s">
        <v>61</v>
      </c>
      <c r="G61">
        <v>1995</v>
      </c>
      <c r="H61" t="s">
        <v>20</v>
      </c>
      <c r="I61" s="2">
        <v>45527</v>
      </c>
      <c r="J61" t="str">
        <f t="shared" si="0"/>
        <v>Short</v>
      </c>
      <c r="K61" t="str" cm="1">
        <f t="array" ref="K61">_xlfn.IFS(E61&lt;4, "Poor", E61&lt;7, "Average", E61&lt;9, "Good", TRUE, "Excellent")</f>
        <v>Good</v>
      </c>
      <c r="L61" t="str">
        <f t="shared" si="1"/>
        <v>M1059 - Movie_59</v>
      </c>
      <c r="M61" t="str">
        <f t="shared" si="2"/>
        <v>Ger</v>
      </c>
      <c r="N61" t="str">
        <f t="shared" si="3"/>
        <v>95</v>
      </c>
      <c r="O61">
        <f t="shared" si="4"/>
        <v>8</v>
      </c>
      <c r="P61" t="str">
        <f t="shared" si="5"/>
        <v>Sci-Fi</v>
      </c>
    </row>
    <row r="62" spans="1:16">
      <c r="A62" t="s">
        <v>154</v>
      </c>
      <c r="B62" t="s">
        <v>155</v>
      </c>
      <c r="C62" t="s">
        <v>34</v>
      </c>
      <c r="D62">
        <v>167</v>
      </c>
      <c r="E62">
        <v>8.6999999999999993</v>
      </c>
      <c r="F62" t="s">
        <v>28</v>
      </c>
      <c r="G62">
        <v>1993</v>
      </c>
      <c r="H62" t="s">
        <v>25</v>
      </c>
      <c r="I62" s="2">
        <v>44337</v>
      </c>
      <c r="J62" t="str">
        <f t="shared" si="0"/>
        <v>Long</v>
      </c>
      <c r="K62" t="str" cm="1">
        <f t="array" ref="K62">_xlfn.IFS(E62&lt;4, "Poor", E62&lt;7, "Average", E62&lt;9, "Good", TRUE, "Excellent")</f>
        <v>Good</v>
      </c>
      <c r="L62" t="str">
        <f t="shared" si="1"/>
        <v>M1060 - Movie_60</v>
      </c>
      <c r="M62" t="str">
        <f t="shared" si="2"/>
        <v>Spa</v>
      </c>
      <c r="N62" t="str">
        <f t="shared" si="3"/>
        <v>93</v>
      </c>
      <c r="O62">
        <f t="shared" si="4"/>
        <v>8</v>
      </c>
      <c r="P62" t="str">
        <f t="shared" si="5"/>
        <v>Drama</v>
      </c>
    </row>
    <row r="63" spans="1:16">
      <c r="A63" t="s">
        <v>156</v>
      </c>
      <c r="B63" t="s">
        <v>157</v>
      </c>
      <c r="C63" t="s">
        <v>18</v>
      </c>
      <c r="D63">
        <v>157</v>
      </c>
      <c r="E63">
        <v>4.4000000000000004</v>
      </c>
      <c r="F63" t="s">
        <v>28</v>
      </c>
      <c r="G63">
        <v>2017</v>
      </c>
      <c r="H63" t="s">
        <v>20</v>
      </c>
      <c r="I63" s="2">
        <v>45390</v>
      </c>
      <c r="J63" t="str">
        <f t="shared" si="0"/>
        <v>Long</v>
      </c>
      <c r="K63" t="str" cm="1">
        <f t="array" ref="K63">_xlfn.IFS(E63&lt;4, "Poor", E63&lt;7, "Average", E63&lt;9, "Good", TRUE, "Excellent")</f>
        <v>Average</v>
      </c>
      <c r="L63" t="str">
        <f t="shared" si="1"/>
        <v>M1061 - Movie_61</v>
      </c>
      <c r="M63" t="str">
        <f t="shared" si="2"/>
        <v>Spa</v>
      </c>
      <c r="N63" t="str">
        <f t="shared" si="3"/>
        <v>17</v>
      </c>
      <c r="O63">
        <f t="shared" si="4"/>
        <v>8</v>
      </c>
      <c r="P63" t="str">
        <f t="shared" si="5"/>
        <v>Horror</v>
      </c>
    </row>
    <row r="64" spans="1:16">
      <c r="A64" t="s">
        <v>158</v>
      </c>
      <c r="B64" t="s">
        <v>159</v>
      </c>
      <c r="C64" t="s">
        <v>58</v>
      </c>
      <c r="D64">
        <v>104</v>
      </c>
      <c r="E64">
        <v>3.8</v>
      </c>
      <c r="F64" t="s">
        <v>28</v>
      </c>
      <c r="G64">
        <v>2002</v>
      </c>
      <c r="H64" t="s">
        <v>25</v>
      </c>
      <c r="I64" s="2">
        <v>45215</v>
      </c>
      <c r="J64" t="str">
        <f t="shared" si="0"/>
        <v>Short</v>
      </c>
      <c r="K64" t="str" cm="1">
        <f t="array" ref="K64">_xlfn.IFS(E64&lt;4, "Poor", E64&lt;7, "Average", E64&lt;9, "Good", TRUE, "Excellent")</f>
        <v>Poor</v>
      </c>
      <c r="L64" t="str">
        <f t="shared" si="1"/>
        <v>M1062 - Movie_62</v>
      </c>
      <c r="M64" t="str">
        <f t="shared" si="2"/>
        <v>Spa</v>
      </c>
      <c r="N64" t="str">
        <f t="shared" si="3"/>
        <v>02</v>
      </c>
      <c r="O64">
        <f t="shared" si="4"/>
        <v>8</v>
      </c>
      <c r="P64" t="str">
        <f t="shared" si="5"/>
        <v>Sci-Fi</v>
      </c>
    </row>
    <row r="65" spans="1:16">
      <c r="A65" t="s">
        <v>160</v>
      </c>
      <c r="B65" t="s">
        <v>161</v>
      </c>
      <c r="C65" t="s">
        <v>34</v>
      </c>
      <c r="D65">
        <v>137</v>
      </c>
      <c r="E65">
        <v>7.5</v>
      </c>
      <c r="F65" t="s">
        <v>19</v>
      </c>
      <c r="G65">
        <v>1983</v>
      </c>
      <c r="H65" t="s">
        <v>20</v>
      </c>
      <c r="I65" s="2">
        <v>44635</v>
      </c>
      <c r="J65" t="str">
        <f t="shared" si="0"/>
        <v>Long</v>
      </c>
      <c r="K65" t="str" cm="1">
        <f t="array" ref="K65">_xlfn.IFS(E65&lt;4, "Poor", E65&lt;7, "Average", E65&lt;9, "Good", TRUE, "Excellent")</f>
        <v>Good</v>
      </c>
      <c r="L65" t="str">
        <f t="shared" si="1"/>
        <v>M1063 - Movie_63</v>
      </c>
      <c r="M65" t="str">
        <f t="shared" si="2"/>
        <v>Jap</v>
      </c>
      <c r="N65" t="str">
        <f t="shared" si="3"/>
        <v>83</v>
      </c>
      <c r="O65">
        <f t="shared" si="4"/>
        <v>8</v>
      </c>
      <c r="P65" t="str">
        <f t="shared" si="5"/>
        <v>Drama</v>
      </c>
    </row>
    <row r="66" spans="1:16">
      <c r="A66" t="s">
        <v>162</v>
      </c>
      <c r="B66" t="s">
        <v>163</v>
      </c>
      <c r="C66" t="s">
        <v>58</v>
      </c>
      <c r="D66">
        <v>163</v>
      </c>
      <c r="E66">
        <v>7.8</v>
      </c>
      <c r="F66" t="s">
        <v>24</v>
      </c>
      <c r="G66">
        <v>1983</v>
      </c>
      <c r="H66" t="s">
        <v>25</v>
      </c>
      <c r="I66" s="2">
        <v>44833</v>
      </c>
      <c r="J66" t="str">
        <f t="shared" si="0"/>
        <v>Long</v>
      </c>
      <c r="K66" t="str" cm="1">
        <f t="array" ref="K66">_xlfn.IFS(E66&lt;4, "Poor", E66&lt;7, "Average", E66&lt;9, "Good", TRUE, "Excellent")</f>
        <v>Good</v>
      </c>
      <c r="L66" t="str">
        <f t="shared" si="1"/>
        <v>M1064 - Movie_64</v>
      </c>
      <c r="M66" t="str">
        <f t="shared" si="2"/>
        <v>Hin</v>
      </c>
      <c r="N66" t="str">
        <f t="shared" si="3"/>
        <v>83</v>
      </c>
      <c r="O66">
        <f t="shared" si="4"/>
        <v>8</v>
      </c>
      <c r="P66" t="str">
        <f t="shared" si="5"/>
        <v>Sci-Fi</v>
      </c>
    </row>
    <row r="67" spans="1:16">
      <c r="A67" t="s">
        <v>164</v>
      </c>
      <c r="B67" t="s">
        <v>165</v>
      </c>
      <c r="C67" t="s">
        <v>40</v>
      </c>
      <c r="D67">
        <v>200</v>
      </c>
      <c r="E67">
        <v>8.9</v>
      </c>
      <c r="F67" t="s">
        <v>28</v>
      </c>
      <c r="G67">
        <v>1998</v>
      </c>
      <c r="H67" t="s">
        <v>20</v>
      </c>
      <c r="I67" s="2">
        <v>44122</v>
      </c>
      <c r="J67" t="str">
        <f t="shared" ref="J67:J130" si="6">IF(D67&gt;120, "Long", "Short")</f>
        <v>Long</v>
      </c>
      <c r="K67" t="str" cm="1">
        <f t="array" ref="K67">_xlfn.IFS(E67&lt;4, "Poor", E67&lt;7, "Average", E67&lt;9, "Good", TRUE, "Excellent")</f>
        <v>Good</v>
      </c>
      <c r="L67" t="str">
        <f t="shared" ref="L67:L130" si="7">_xlfn.CONCAT(A67, " - ", B67)</f>
        <v>M1065 - Movie_65</v>
      </c>
      <c r="M67" t="str">
        <f t="shared" ref="M67:M130" si="8">LEFT(F67,3)</f>
        <v>Spa</v>
      </c>
      <c r="N67" t="str">
        <f t="shared" ref="N67:N130" si="9">RIGHT(G67,2)</f>
        <v>98</v>
      </c>
      <c r="O67">
        <f t="shared" ref="O67:O130" si="10">LEN(B67)</f>
        <v>8</v>
      </c>
      <c r="P67" t="str">
        <f t="shared" ref="P67:P130" si="11">TRIM(C67)</f>
        <v>Comedy</v>
      </c>
    </row>
    <row r="68" spans="1:16">
      <c r="A68" t="s">
        <v>166</v>
      </c>
      <c r="B68" t="s">
        <v>167</v>
      </c>
      <c r="C68" t="s">
        <v>18</v>
      </c>
      <c r="D68">
        <v>60</v>
      </c>
      <c r="E68">
        <v>1.3</v>
      </c>
      <c r="F68" t="s">
        <v>19</v>
      </c>
      <c r="G68">
        <v>2011</v>
      </c>
      <c r="H68" t="s">
        <v>25</v>
      </c>
      <c r="I68" s="2">
        <v>45013</v>
      </c>
      <c r="J68" t="str">
        <f t="shared" si="6"/>
        <v>Short</v>
      </c>
      <c r="K68" t="str" cm="1">
        <f t="array" ref="K68">_xlfn.IFS(E68&lt;4, "Poor", E68&lt;7, "Average", E68&lt;9, "Good", TRUE, "Excellent")</f>
        <v>Poor</v>
      </c>
      <c r="L68" t="str">
        <f t="shared" si="7"/>
        <v>M1066 - Movie_66</v>
      </c>
      <c r="M68" t="str">
        <f t="shared" si="8"/>
        <v>Jap</v>
      </c>
      <c r="N68" t="str">
        <f t="shared" si="9"/>
        <v>11</v>
      </c>
      <c r="O68">
        <f t="shared" si="10"/>
        <v>8</v>
      </c>
      <c r="P68" t="str">
        <f t="shared" si="11"/>
        <v>Horror</v>
      </c>
    </row>
    <row r="69" spans="1:16">
      <c r="A69" t="s">
        <v>168</v>
      </c>
      <c r="B69" t="s">
        <v>169</v>
      </c>
      <c r="C69" t="s">
        <v>23</v>
      </c>
      <c r="D69">
        <v>137</v>
      </c>
      <c r="E69">
        <v>1.6</v>
      </c>
      <c r="F69" t="s">
        <v>61</v>
      </c>
      <c r="G69">
        <v>2018</v>
      </c>
      <c r="H69" t="s">
        <v>25</v>
      </c>
      <c r="I69" s="2">
        <v>45126</v>
      </c>
      <c r="J69" t="str">
        <f t="shared" si="6"/>
        <v>Long</v>
      </c>
      <c r="K69" t="str" cm="1">
        <f t="array" ref="K69">_xlfn.IFS(E69&lt;4, "Poor", E69&lt;7, "Average", E69&lt;9, "Good", TRUE, "Excellent")</f>
        <v>Poor</v>
      </c>
      <c r="L69" t="str">
        <f t="shared" si="7"/>
        <v>M1067 - Movie_67</v>
      </c>
      <c r="M69" t="str">
        <f t="shared" si="8"/>
        <v>Ger</v>
      </c>
      <c r="N69" t="str">
        <f t="shared" si="9"/>
        <v>18</v>
      </c>
      <c r="O69">
        <f t="shared" si="10"/>
        <v>8</v>
      </c>
      <c r="P69" t="str">
        <f t="shared" si="11"/>
        <v>Action</v>
      </c>
    </row>
    <row r="70" spans="1:16">
      <c r="A70" t="s">
        <v>170</v>
      </c>
      <c r="B70" t="s">
        <v>171</v>
      </c>
      <c r="C70" t="s">
        <v>23</v>
      </c>
      <c r="D70">
        <v>133</v>
      </c>
      <c r="E70">
        <v>6.7</v>
      </c>
      <c r="F70" t="s">
        <v>35</v>
      </c>
      <c r="G70">
        <v>2021</v>
      </c>
      <c r="H70" t="s">
        <v>20</v>
      </c>
      <c r="I70" s="2">
        <v>44381</v>
      </c>
      <c r="J70" t="str">
        <f t="shared" si="6"/>
        <v>Long</v>
      </c>
      <c r="K70" t="str" cm="1">
        <f t="array" ref="K70">_xlfn.IFS(E70&lt;4, "Poor", E70&lt;7, "Average", E70&lt;9, "Good", TRUE, "Excellent")</f>
        <v>Average</v>
      </c>
      <c r="L70" t="str">
        <f t="shared" si="7"/>
        <v>M1068 - Movie_68</v>
      </c>
      <c r="M70" t="str">
        <f t="shared" si="8"/>
        <v>Eng</v>
      </c>
      <c r="N70" t="str">
        <f t="shared" si="9"/>
        <v>21</v>
      </c>
      <c r="O70">
        <f t="shared" si="10"/>
        <v>8</v>
      </c>
      <c r="P70" t="str">
        <f t="shared" si="11"/>
        <v>Action</v>
      </c>
    </row>
    <row r="71" spans="1:16">
      <c r="A71" t="s">
        <v>172</v>
      </c>
      <c r="B71" t="s">
        <v>173</v>
      </c>
      <c r="C71" t="s">
        <v>18</v>
      </c>
      <c r="D71">
        <v>113</v>
      </c>
      <c r="E71">
        <v>9.3000000000000007</v>
      </c>
      <c r="F71" t="s">
        <v>61</v>
      </c>
      <c r="G71">
        <v>2023</v>
      </c>
      <c r="H71" t="s">
        <v>20</v>
      </c>
      <c r="I71" s="2">
        <v>45116</v>
      </c>
      <c r="J71" t="str">
        <f t="shared" si="6"/>
        <v>Short</v>
      </c>
      <c r="K71" t="str" cm="1">
        <f t="array" ref="K71">_xlfn.IFS(E71&lt;4, "Poor", E71&lt;7, "Average", E71&lt;9, "Good", TRUE, "Excellent")</f>
        <v>Excellent</v>
      </c>
      <c r="L71" t="str">
        <f t="shared" si="7"/>
        <v>M1069 - Movie_69</v>
      </c>
      <c r="M71" t="str">
        <f t="shared" si="8"/>
        <v>Ger</v>
      </c>
      <c r="N71" t="str">
        <f t="shared" si="9"/>
        <v>23</v>
      </c>
      <c r="O71">
        <f t="shared" si="10"/>
        <v>8</v>
      </c>
      <c r="P71" t="str">
        <f t="shared" si="11"/>
        <v>Horror</v>
      </c>
    </row>
    <row r="72" spans="1:16">
      <c r="A72" t="s">
        <v>174</v>
      </c>
      <c r="B72" t="s">
        <v>175</v>
      </c>
      <c r="C72" t="s">
        <v>40</v>
      </c>
      <c r="D72">
        <v>170</v>
      </c>
      <c r="E72">
        <v>10</v>
      </c>
      <c r="F72" t="s">
        <v>31</v>
      </c>
      <c r="G72">
        <v>2010</v>
      </c>
      <c r="H72" t="s">
        <v>20</v>
      </c>
      <c r="I72" s="2">
        <v>44679</v>
      </c>
      <c r="J72" t="str">
        <f t="shared" si="6"/>
        <v>Long</v>
      </c>
      <c r="K72" t="str" cm="1">
        <f t="array" ref="K72">_xlfn.IFS(E72&lt;4, "Poor", E72&lt;7, "Average", E72&lt;9, "Good", TRUE, "Excellent")</f>
        <v>Excellent</v>
      </c>
      <c r="L72" t="str">
        <f t="shared" si="7"/>
        <v>M1070 - Movie_70</v>
      </c>
      <c r="M72" t="str">
        <f t="shared" si="8"/>
        <v>Fre</v>
      </c>
      <c r="N72" t="str">
        <f t="shared" si="9"/>
        <v>10</v>
      </c>
      <c r="O72">
        <f t="shared" si="10"/>
        <v>8</v>
      </c>
      <c r="P72" t="str">
        <f t="shared" si="11"/>
        <v>Comedy</v>
      </c>
    </row>
    <row r="73" spans="1:16">
      <c r="A73" t="s">
        <v>176</v>
      </c>
      <c r="B73" t="s">
        <v>177</v>
      </c>
      <c r="C73" t="s">
        <v>34</v>
      </c>
      <c r="D73">
        <v>142</v>
      </c>
      <c r="E73">
        <v>7.7</v>
      </c>
      <c r="F73" t="s">
        <v>19</v>
      </c>
      <c r="G73">
        <v>1998</v>
      </c>
      <c r="H73" t="s">
        <v>25</v>
      </c>
      <c r="I73" s="2">
        <v>44599</v>
      </c>
      <c r="J73" t="str">
        <f t="shared" si="6"/>
        <v>Long</v>
      </c>
      <c r="K73" t="str" cm="1">
        <f t="array" ref="K73">_xlfn.IFS(E73&lt;4, "Poor", E73&lt;7, "Average", E73&lt;9, "Good", TRUE, "Excellent")</f>
        <v>Good</v>
      </c>
      <c r="L73" t="str">
        <f t="shared" si="7"/>
        <v>M1071 - Movie_71</v>
      </c>
      <c r="M73" t="str">
        <f t="shared" si="8"/>
        <v>Jap</v>
      </c>
      <c r="N73" t="str">
        <f t="shared" si="9"/>
        <v>98</v>
      </c>
      <c r="O73">
        <f t="shared" si="10"/>
        <v>8</v>
      </c>
      <c r="P73" t="str">
        <f t="shared" si="11"/>
        <v>Drama</v>
      </c>
    </row>
    <row r="74" spans="1:16">
      <c r="A74" t="s">
        <v>178</v>
      </c>
      <c r="B74" t="s">
        <v>179</v>
      </c>
      <c r="C74" t="s">
        <v>23</v>
      </c>
      <c r="D74">
        <v>179</v>
      </c>
      <c r="E74">
        <v>4.9000000000000004</v>
      </c>
      <c r="F74" t="s">
        <v>19</v>
      </c>
      <c r="G74">
        <v>2014</v>
      </c>
      <c r="H74" t="s">
        <v>25</v>
      </c>
      <c r="I74" s="2">
        <v>44756</v>
      </c>
      <c r="J74" t="str">
        <f t="shared" si="6"/>
        <v>Long</v>
      </c>
      <c r="K74" t="str" cm="1">
        <f t="array" ref="K74">_xlfn.IFS(E74&lt;4, "Poor", E74&lt;7, "Average", E74&lt;9, "Good", TRUE, "Excellent")</f>
        <v>Average</v>
      </c>
      <c r="L74" t="str">
        <f t="shared" si="7"/>
        <v>M1072 - Movie_72</v>
      </c>
      <c r="M74" t="str">
        <f t="shared" si="8"/>
        <v>Jap</v>
      </c>
      <c r="N74" t="str">
        <f t="shared" si="9"/>
        <v>14</v>
      </c>
      <c r="O74">
        <f t="shared" si="10"/>
        <v>8</v>
      </c>
      <c r="P74" t="str">
        <f t="shared" si="11"/>
        <v>Action</v>
      </c>
    </row>
    <row r="75" spans="1:16">
      <c r="A75" t="s">
        <v>180</v>
      </c>
      <c r="B75" t="s">
        <v>181</v>
      </c>
      <c r="C75" t="s">
        <v>40</v>
      </c>
      <c r="D75">
        <v>173</v>
      </c>
      <c r="E75">
        <v>1.9</v>
      </c>
      <c r="F75" t="s">
        <v>28</v>
      </c>
      <c r="G75">
        <v>1980</v>
      </c>
      <c r="H75" t="s">
        <v>20</v>
      </c>
      <c r="I75" s="2">
        <v>43985</v>
      </c>
      <c r="J75" t="str">
        <f t="shared" si="6"/>
        <v>Long</v>
      </c>
      <c r="K75" t="str" cm="1">
        <f t="array" ref="K75">_xlfn.IFS(E75&lt;4, "Poor", E75&lt;7, "Average", E75&lt;9, "Good", TRUE, "Excellent")</f>
        <v>Poor</v>
      </c>
      <c r="L75" t="str">
        <f t="shared" si="7"/>
        <v>M1073 - Movie_73</v>
      </c>
      <c r="M75" t="str">
        <f t="shared" si="8"/>
        <v>Spa</v>
      </c>
      <c r="N75" t="str">
        <f t="shared" si="9"/>
        <v>80</v>
      </c>
      <c r="O75">
        <f t="shared" si="10"/>
        <v>8</v>
      </c>
      <c r="P75" t="str">
        <f t="shared" si="11"/>
        <v>Comedy</v>
      </c>
    </row>
    <row r="76" spans="1:16">
      <c r="A76" t="s">
        <v>182</v>
      </c>
      <c r="B76" t="s">
        <v>183</v>
      </c>
      <c r="C76" t="s">
        <v>23</v>
      </c>
      <c r="D76">
        <v>173</v>
      </c>
      <c r="E76">
        <v>6.7</v>
      </c>
      <c r="F76" t="s">
        <v>61</v>
      </c>
      <c r="G76">
        <v>1986</v>
      </c>
      <c r="H76" t="s">
        <v>20</v>
      </c>
      <c r="I76" s="2">
        <v>45128</v>
      </c>
      <c r="J76" t="str">
        <f t="shared" si="6"/>
        <v>Long</v>
      </c>
      <c r="K76" t="str" cm="1">
        <f t="array" ref="K76">_xlfn.IFS(E76&lt;4, "Poor", E76&lt;7, "Average", E76&lt;9, "Good", TRUE, "Excellent")</f>
        <v>Average</v>
      </c>
      <c r="L76" t="str">
        <f t="shared" si="7"/>
        <v>M1074 - Movie_74</v>
      </c>
      <c r="M76" t="str">
        <f t="shared" si="8"/>
        <v>Ger</v>
      </c>
      <c r="N76" t="str">
        <f t="shared" si="9"/>
        <v>86</v>
      </c>
      <c r="O76">
        <f t="shared" si="10"/>
        <v>8</v>
      </c>
      <c r="P76" t="str">
        <f t="shared" si="11"/>
        <v>Action</v>
      </c>
    </row>
    <row r="77" spans="1:16">
      <c r="A77" t="s">
        <v>184</v>
      </c>
      <c r="B77" t="s">
        <v>185</v>
      </c>
      <c r="C77" t="s">
        <v>67</v>
      </c>
      <c r="D77">
        <v>114</v>
      </c>
      <c r="E77">
        <v>8.9</v>
      </c>
      <c r="F77" t="s">
        <v>24</v>
      </c>
      <c r="G77">
        <v>2007</v>
      </c>
      <c r="H77" t="s">
        <v>20</v>
      </c>
      <c r="I77" s="2">
        <v>45458</v>
      </c>
      <c r="J77" t="str">
        <f t="shared" si="6"/>
        <v>Short</v>
      </c>
      <c r="K77" t="str" cm="1">
        <f t="array" ref="K77">_xlfn.IFS(E77&lt;4, "Poor", E77&lt;7, "Average", E77&lt;9, "Good", TRUE, "Excellent")</f>
        <v>Good</v>
      </c>
      <c r="L77" t="str">
        <f t="shared" si="7"/>
        <v>M1075 - Movie_75</v>
      </c>
      <c r="M77" t="str">
        <f t="shared" si="8"/>
        <v>Hin</v>
      </c>
      <c r="N77" t="str">
        <f t="shared" si="9"/>
        <v>07</v>
      </c>
      <c r="O77">
        <f t="shared" si="10"/>
        <v>8</v>
      </c>
      <c r="P77" t="str">
        <f t="shared" si="11"/>
        <v>Thriller</v>
      </c>
    </row>
    <row r="78" spans="1:16">
      <c r="A78" t="s">
        <v>186</v>
      </c>
      <c r="B78" t="s">
        <v>187</v>
      </c>
      <c r="C78" t="s">
        <v>34</v>
      </c>
      <c r="D78">
        <v>190</v>
      </c>
      <c r="E78">
        <v>5</v>
      </c>
      <c r="F78" t="s">
        <v>31</v>
      </c>
      <c r="G78">
        <v>1988</v>
      </c>
      <c r="H78" t="s">
        <v>20</v>
      </c>
      <c r="I78" s="2">
        <v>45405</v>
      </c>
      <c r="J78" t="str">
        <f t="shared" si="6"/>
        <v>Long</v>
      </c>
      <c r="K78" t="str" cm="1">
        <f t="array" ref="K78">_xlfn.IFS(E78&lt;4, "Poor", E78&lt;7, "Average", E78&lt;9, "Good", TRUE, "Excellent")</f>
        <v>Average</v>
      </c>
      <c r="L78" t="str">
        <f t="shared" si="7"/>
        <v>M1076 - Movie_76</v>
      </c>
      <c r="M78" t="str">
        <f t="shared" si="8"/>
        <v>Fre</v>
      </c>
      <c r="N78" t="str">
        <f t="shared" si="9"/>
        <v>88</v>
      </c>
      <c r="O78">
        <f t="shared" si="10"/>
        <v>8</v>
      </c>
      <c r="P78" t="str">
        <f t="shared" si="11"/>
        <v>Drama</v>
      </c>
    </row>
    <row r="79" spans="1:16">
      <c r="A79" t="s">
        <v>188</v>
      </c>
      <c r="B79" t="s">
        <v>189</v>
      </c>
      <c r="C79" t="s">
        <v>67</v>
      </c>
      <c r="D79">
        <v>181</v>
      </c>
      <c r="E79">
        <v>7.2</v>
      </c>
      <c r="F79" t="s">
        <v>19</v>
      </c>
      <c r="G79">
        <v>1996</v>
      </c>
      <c r="H79" t="s">
        <v>25</v>
      </c>
      <c r="I79" s="2">
        <v>44021</v>
      </c>
      <c r="J79" t="str">
        <f t="shared" si="6"/>
        <v>Long</v>
      </c>
      <c r="K79" t="str" cm="1">
        <f t="array" ref="K79">_xlfn.IFS(E79&lt;4, "Poor", E79&lt;7, "Average", E79&lt;9, "Good", TRUE, "Excellent")</f>
        <v>Good</v>
      </c>
      <c r="L79" t="str">
        <f t="shared" si="7"/>
        <v>M1077 - Movie_77</v>
      </c>
      <c r="M79" t="str">
        <f t="shared" si="8"/>
        <v>Jap</v>
      </c>
      <c r="N79" t="str">
        <f t="shared" si="9"/>
        <v>96</v>
      </c>
      <c r="O79">
        <f t="shared" si="10"/>
        <v>8</v>
      </c>
      <c r="P79" t="str">
        <f t="shared" si="11"/>
        <v>Thriller</v>
      </c>
    </row>
    <row r="80" spans="1:16">
      <c r="A80" t="s">
        <v>190</v>
      </c>
      <c r="B80" t="s">
        <v>191</v>
      </c>
      <c r="C80" t="s">
        <v>18</v>
      </c>
      <c r="D80">
        <v>103</v>
      </c>
      <c r="E80">
        <v>9.1</v>
      </c>
      <c r="F80" t="s">
        <v>61</v>
      </c>
      <c r="G80">
        <v>2003</v>
      </c>
      <c r="H80" t="s">
        <v>20</v>
      </c>
      <c r="I80" s="2">
        <v>44656</v>
      </c>
      <c r="J80" t="str">
        <f t="shared" si="6"/>
        <v>Short</v>
      </c>
      <c r="K80" t="str" cm="1">
        <f t="array" ref="K80">_xlfn.IFS(E80&lt;4, "Poor", E80&lt;7, "Average", E80&lt;9, "Good", TRUE, "Excellent")</f>
        <v>Excellent</v>
      </c>
      <c r="L80" t="str">
        <f t="shared" si="7"/>
        <v>M1078 - Movie_78</v>
      </c>
      <c r="M80" t="str">
        <f t="shared" si="8"/>
        <v>Ger</v>
      </c>
      <c r="N80" t="str">
        <f t="shared" si="9"/>
        <v>03</v>
      </c>
      <c r="O80">
        <f t="shared" si="10"/>
        <v>8</v>
      </c>
      <c r="P80" t="str">
        <f t="shared" si="11"/>
        <v>Horror</v>
      </c>
    </row>
    <row r="81" spans="1:16">
      <c r="A81" t="s">
        <v>192</v>
      </c>
      <c r="B81" t="s">
        <v>193</v>
      </c>
      <c r="C81" t="s">
        <v>34</v>
      </c>
      <c r="D81">
        <v>81</v>
      </c>
      <c r="E81">
        <v>1.4</v>
      </c>
      <c r="F81" t="s">
        <v>28</v>
      </c>
      <c r="G81">
        <v>2005</v>
      </c>
      <c r="H81" t="s">
        <v>25</v>
      </c>
      <c r="I81" s="2">
        <v>44886</v>
      </c>
      <c r="J81" t="str">
        <f t="shared" si="6"/>
        <v>Short</v>
      </c>
      <c r="K81" t="str" cm="1">
        <f t="array" ref="K81">_xlfn.IFS(E81&lt;4, "Poor", E81&lt;7, "Average", E81&lt;9, "Good", TRUE, "Excellent")</f>
        <v>Poor</v>
      </c>
      <c r="L81" t="str">
        <f t="shared" si="7"/>
        <v>M1079 - Movie_79</v>
      </c>
      <c r="M81" t="str">
        <f t="shared" si="8"/>
        <v>Spa</v>
      </c>
      <c r="N81" t="str">
        <f t="shared" si="9"/>
        <v>05</v>
      </c>
      <c r="O81">
        <f t="shared" si="10"/>
        <v>8</v>
      </c>
      <c r="P81" t="str">
        <f t="shared" si="11"/>
        <v>Drama</v>
      </c>
    </row>
    <row r="82" spans="1:16">
      <c r="A82" t="s">
        <v>194</v>
      </c>
      <c r="B82" t="s">
        <v>195</v>
      </c>
      <c r="C82" t="s">
        <v>40</v>
      </c>
      <c r="D82">
        <v>132</v>
      </c>
      <c r="E82">
        <v>8.1999999999999993</v>
      </c>
      <c r="F82" t="s">
        <v>24</v>
      </c>
      <c r="G82">
        <v>2003</v>
      </c>
      <c r="H82" t="s">
        <v>25</v>
      </c>
      <c r="I82" s="2">
        <v>45366</v>
      </c>
      <c r="J82" t="str">
        <f t="shared" si="6"/>
        <v>Long</v>
      </c>
      <c r="K82" t="str" cm="1">
        <f t="array" ref="K82">_xlfn.IFS(E82&lt;4, "Poor", E82&lt;7, "Average", E82&lt;9, "Good", TRUE, "Excellent")</f>
        <v>Good</v>
      </c>
      <c r="L82" t="str">
        <f t="shared" si="7"/>
        <v>M1080 - Movie_80</v>
      </c>
      <c r="M82" t="str">
        <f t="shared" si="8"/>
        <v>Hin</v>
      </c>
      <c r="N82" t="str">
        <f t="shared" si="9"/>
        <v>03</v>
      </c>
      <c r="O82">
        <f t="shared" si="10"/>
        <v>8</v>
      </c>
      <c r="P82" t="str">
        <f t="shared" si="11"/>
        <v>Comedy</v>
      </c>
    </row>
    <row r="83" spans="1:16">
      <c r="A83" t="s">
        <v>196</v>
      </c>
      <c r="B83" t="s">
        <v>197</v>
      </c>
      <c r="C83" t="s">
        <v>34</v>
      </c>
      <c r="D83">
        <v>191</v>
      </c>
      <c r="E83">
        <v>3.6</v>
      </c>
      <c r="F83" t="s">
        <v>28</v>
      </c>
      <c r="G83">
        <v>1982</v>
      </c>
      <c r="H83" t="s">
        <v>20</v>
      </c>
      <c r="I83" s="2">
        <v>44400</v>
      </c>
      <c r="J83" t="str">
        <f t="shared" si="6"/>
        <v>Long</v>
      </c>
      <c r="K83" t="str" cm="1">
        <f t="array" ref="K83">_xlfn.IFS(E83&lt;4, "Poor", E83&lt;7, "Average", E83&lt;9, "Good", TRUE, "Excellent")</f>
        <v>Poor</v>
      </c>
      <c r="L83" t="str">
        <f t="shared" si="7"/>
        <v>M1081 - Movie_81</v>
      </c>
      <c r="M83" t="str">
        <f t="shared" si="8"/>
        <v>Spa</v>
      </c>
      <c r="N83" t="str">
        <f t="shared" si="9"/>
        <v>82</v>
      </c>
      <c r="O83">
        <f t="shared" si="10"/>
        <v>8</v>
      </c>
      <c r="P83" t="str">
        <f t="shared" si="11"/>
        <v>Drama</v>
      </c>
    </row>
    <row r="84" spans="1:16">
      <c r="A84" t="s">
        <v>198</v>
      </c>
      <c r="B84" t="s">
        <v>199</v>
      </c>
      <c r="C84" t="s">
        <v>34</v>
      </c>
      <c r="D84">
        <v>145</v>
      </c>
      <c r="E84">
        <v>4.4000000000000004</v>
      </c>
      <c r="F84" t="s">
        <v>31</v>
      </c>
      <c r="G84">
        <v>2005</v>
      </c>
      <c r="H84" t="s">
        <v>20</v>
      </c>
      <c r="I84" s="2">
        <v>45253</v>
      </c>
      <c r="J84" t="str">
        <f t="shared" si="6"/>
        <v>Long</v>
      </c>
      <c r="K84" t="str" cm="1">
        <f t="array" ref="K84">_xlfn.IFS(E84&lt;4, "Poor", E84&lt;7, "Average", E84&lt;9, "Good", TRUE, "Excellent")</f>
        <v>Average</v>
      </c>
      <c r="L84" t="str">
        <f t="shared" si="7"/>
        <v>M1082 - Movie_82</v>
      </c>
      <c r="M84" t="str">
        <f t="shared" si="8"/>
        <v>Fre</v>
      </c>
      <c r="N84" t="str">
        <f t="shared" si="9"/>
        <v>05</v>
      </c>
      <c r="O84">
        <f t="shared" si="10"/>
        <v>8</v>
      </c>
      <c r="P84" t="str">
        <f t="shared" si="11"/>
        <v>Drama</v>
      </c>
    </row>
    <row r="85" spans="1:16">
      <c r="A85" t="s">
        <v>200</v>
      </c>
      <c r="B85" t="s">
        <v>201</v>
      </c>
      <c r="C85" t="s">
        <v>40</v>
      </c>
      <c r="D85">
        <v>83</v>
      </c>
      <c r="E85">
        <v>2.2999999999999998</v>
      </c>
      <c r="F85" t="s">
        <v>61</v>
      </c>
      <c r="G85">
        <v>1983</v>
      </c>
      <c r="H85" t="s">
        <v>20</v>
      </c>
      <c r="I85" s="2">
        <v>44586</v>
      </c>
      <c r="J85" t="str">
        <f t="shared" si="6"/>
        <v>Short</v>
      </c>
      <c r="K85" t="str" cm="1">
        <f t="array" ref="K85">_xlfn.IFS(E85&lt;4, "Poor", E85&lt;7, "Average", E85&lt;9, "Good", TRUE, "Excellent")</f>
        <v>Poor</v>
      </c>
      <c r="L85" t="str">
        <f t="shared" si="7"/>
        <v>M1083 - Movie_83</v>
      </c>
      <c r="M85" t="str">
        <f t="shared" si="8"/>
        <v>Ger</v>
      </c>
      <c r="N85" t="str">
        <f t="shared" si="9"/>
        <v>83</v>
      </c>
      <c r="O85">
        <f t="shared" si="10"/>
        <v>8</v>
      </c>
      <c r="P85" t="str">
        <f t="shared" si="11"/>
        <v>Comedy</v>
      </c>
    </row>
    <row r="86" spans="1:16">
      <c r="A86" t="s">
        <v>202</v>
      </c>
      <c r="B86" t="s">
        <v>203</v>
      </c>
      <c r="C86" t="s">
        <v>18</v>
      </c>
      <c r="D86">
        <v>120</v>
      </c>
      <c r="E86">
        <v>5.8</v>
      </c>
      <c r="F86" t="s">
        <v>28</v>
      </c>
      <c r="G86">
        <v>2016</v>
      </c>
      <c r="H86" t="s">
        <v>20</v>
      </c>
      <c r="I86" s="2">
        <v>44762</v>
      </c>
      <c r="J86" t="str">
        <f t="shared" si="6"/>
        <v>Short</v>
      </c>
      <c r="K86" t="str" cm="1">
        <f t="array" ref="K86">_xlfn.IFS(E86&lt;4, "Poor", E86&lt;7, "Average", E86&lt;9, "Good", TRUE, "Excellent")</f>
        <v>Average</v>
      </c>
      <c r="L86" t="str">
        <f t="shared" si="7"/>
        <v>M1084 - Movie_84</v>
      </c>
      <c r="M86" t="str">
        <f t="shared" si="8"/>
        <v>Spa</v>
      </c>
      <c r="N86" t="str">
        <f t="shared" si="9"/>
        <v>16</v>
      </c>
      <c r="O86">
        <f t="shared" si="10"/>
        <v>8</v>
      </c>
      <c r="P86" t="str">
        <f t="shared" si="11"/>
        <v>Horror</v>
      </c>
    </row>
    <row r="87" spans="1:16">
      <c r="A87" t="s">
        <v>204</v>
      </c>
      <c r="B87" t="s">
        <v>205</v>
      </c>
      <c r="C87" t="s">
        <v>34</v>
      </c>
      <c r="D87">
        <v>139</v>
      </c>
      <c r="E87">
        <v>6.1</v>
      </c>
      <c r="F87" t="s">
        <v>31</v>
      </c>
      <c r="G87">
        <v>2015</v>
      </c>
      <c r="H87" t="s">
        <v>25</v>
      </c>
      <c r="I87" s="2">
        <v>44830</v>
      </c>
      <c r="J87" t="str">
        <f t="shared" si="6"/>
        <v>Long</v>
      </c>
      <c r="K87" t="str" cm="1">
        <f t="array" ref="K87">_xlfn.IFS(E87&lt;4, "Poor", E87&lt;7, "Average", E87&lt;9, "Good", TRUE, "Excellent")</f>
        <v>Average</v>
      </c>
      <c r="L87" t="str">
        <f t="shared" si="7"/>
        <v>M1085 - Movie_85</v>
      </c>
      <c r="M87" t="str">
        <f t="shared" si="8"/>
        <v>Fre</v>
      </c>
      <c r="N87" t="str">
        <f t="shared" si="9"/>
        <v>15</v>
      </c>
      <c r="O87">
        <f t="shared" si="10"/>
        <v>8</v>
      </c>
      <c r="P87" t="str">
        <f t="shared" si="11"/>
        <v>Drama</v>
      </c>
    </row>
    <row r="88" spans="1:16">
      <c r="A88" t="s">
        <v>206</v>
      </c>
      <c r="B88" t="s">
        <v>207</v>
      </c>
      <c r="C88" t="s">
        <v>18</v>
      </c>
      <c r="D88">
        <v>117</v>
      </c>
      <c r="E88">
        <v>8.1</v>
      </c>
      <c r="F88" t="s">
        <v>19</v>
      </c>
      <c r="G88">
        <v>1992</v>
      </c>
      <c r="H88" t="s">
        <v>20</v>
      </c>
      <c r="I88" s="2">
        <v>44501</v>
      </c>
      <c r="J88" t="str">
        <f t="shared" si="6"/>
        <v>Short</v>
      </c>
      <c r="K88" t="str" cm="1">
        <f t="array" ref="K88">_xlfn.IFS(E88&lt;4, "Poor", E88&lt;7, "Average", E88&lt;9, "Good", TRUE, "Excellent")</f>
        <v>Good</v>
      </c>
      <c r="L88" t="str">
        <f t="shared" si="7"/>
        <v>M1086 - Movie_86</v>
      </c>
      <c r="M88" t="str">
        <f t="shared" si="8"/>
        <v>Jap</v>
      </c>
      <c r="N88" t="str">
        <f t="shared" si="9"/>
        <v>92</v>
      </c>
      <c r="O88">
        <f t="shared" si="10"/>
        <v>8</v>
      </c>
      <c r="P88" t="str">
        <f t="shared" si="11"/>
        <v>Horror</v>
      </c>
    </row>
    <row r="89" spans="1:16">
      <c r="A89" t="s">
        <v>208</v>
      </c>
      <c r="B89" t="s">
        <v>209</v>
      </c>
      <c r="C89" t="s">
        <v>18</v>
      </c>
      <c r="D89">
        <v>110</v>
      </c>
      <c r="E89">
        <v>2.5</v>
      </c>
      <c r="F89" t="s">
        <v>24</v>
      </c>
      <c r="G89">
        <v>2003</v>
      </c>
      <c r="H89" t="s">
        <v>20</v>
      </c>
      <c r="I89" s="2">
        <v>45022</v>
      </c>
      <c r="J89" t="str">
        <f t="shared" si="6"/>
        <v>Short</v>
      </c>
      <c r="K89" t="str" cm="1">
        <f t="array" ref="K89">_xlfn.IFS(E89&lt;4, "Poor", E89&lt;7, "Average", E89&lt;9, "Good", TRUE, "Excellent")</f>
        <v>Poor</v>
      </c>
      <c r="L89" t="str">
        <f t="shared" si="7"/>
        <v>M1087 - Movie_87</v>
      </c>
      <c r="M89" t="str">
        <f t="shared" si="8"/>
        <v>Hin</v>
      </c>
      <c r="N89" t="str">
        <f t="shared" si="9"/>
        <v>03</v>
      </c>
      <c r="O89">
        <f t="shared" si="10"/>
        <v>8</v>
      </c>
      <c r="P89" t="str">
        <f t="shared" si="11"/>
        <v>Horror</v>
      </c>
    </row>
    <row r="90" spans="1:16">
      <c r="A90" t="s">
        <v>210</v>
      </c>
      <c r="B90" t="s">
        <v>211</v>
      </c>
      <c r="C90" t="s">
        <v>18</v>
      </c>
      <c r="D90">
        <v>97</v>
      </c>
      <c r="E90">
        <v>1.7</v>
      </c>
      <c r="F90" t="s">
        <v>61</v>
      </c>
      <c r="G90">
        <v>2015</v>
      </c>
      <c r="H90" t="s">
        <v>25</v>
      </c>
      <c r="I90" s="2">
        <v>43836</v>
      </c>
      <c r="J90" t="str">
        <f t="shared" si="6"/>
        <v>Short</v>
      </c>
      <c r="K90" t="str" cm="1">
        <f t="array" ref="K90">_xlfn.IFS(E90&lt;4, "Poor", E90&lt;7, "Average", E90&lt;9, "Good", TRUE, "Excellent")</f>
        <v>Poor</v>
      </c>
      <c r="L90" t="str">
        <f t="shared" si="7"/>
        <v>M1088 - Movie_88</v>
      </c>
      <c r="M90" t="str">
        <f t="shared" si="8"/>
        <v>Ger</v>
      </c>
      <c r="N90" t="str">
        <f t="shared" si="9"/>
        <v>15</v>
      </c>
      <c r="O90">
        <f t="shared" si="10"/>
        <v>8</v>
      </c>
      <c r="P90" t="str">
        <f t="shared" si="11"/>
        <v>Horror</v>
      </c>
    </row>
    <row r="91" spans="1:16">
      <c r="A91" t="s">
        <v>212</v>
      </c>
      <c r="B91" t="s">
        <v>213</v>
      </c>
      <c r="C91" t="s">
        <v>23</v>
      </c>
      <c r="D91">
        <v>66</v>
      </c>
      <c r="E91">
        <v>8.8000000000000007</v>
      </c>
      <c r="F91" t="s">
        <v>61</v>
      </c>
      <c r="G91">
        <v>1998</v>
      </c>
      <c r="H91" t="s">
        <v>20</v>
      </c>
      <c r="I91" s="2">
        <v>45416</v>
      </c>
      <c r="J91" t="str">
        <f t="shared" si="6"/>
        <v>Short</v>
      </c>
      <c r="K91" t="str" cm="1">
        <f t="array" ref="K91">_xlfn.IFS(E91&lt;4, "Poor", E91&lt;7, "Average", E91&lt;9, "Good", TRUE, "Excellent")</f>
        <v>Good</v>
      </c>
      <c r="L91" t="str">
        <f t="shared" si="7"/>
        <v>M1089 - Movie_89</v>
      </c>
      <c r="M91" t="str">
        <f t="shared" si="8"/>
        <v>Ger</v>
      </c>
      <c r="N91" t="str">
        <f t="shared" si="9"/>
        <v>98</v>
      </c>
      <c r="O91">
        <f t="shared" si="10"/>
        <v>8</v>
      </c>
      <c r="P91" t="str">
        <f t="shared" si="11"/>
        <v>Action</v>
      </c>
    </row>
    <row r="92" spans="1:16">
      <c r="A92" t="s">
        <v>214</v>
      </c>
      <c r="B92" t="s">
        <v>215</v>
      </c>
      <c r="C92" t="s">
        <v>58</v>
      </c>
      <c r="D92">
        <v>71</v>
      </c>
      <c r="E92">
        <v>6.6</v>
      </c>
      <c r="F92" t="s">
        <v>31</v>
      </c>
      <c r="G92">
        <v>1984</v>
      </c>
      <c r="H92" t="s">
        <v>25</v>
      </c>
      <c r="I92" s="2">
        <v>45331</v>
      </c>
      <c r="J92" t="str">
        <f t="shared" si="6"/>
        <v>Short</v>
      </c>
      <c r="K92" t="str" cm="1">
        <f t="array" ref="K92">_xlfn.IFS(E92&lt;4, "Poor", E92&lt;7, "Average", E92&lt;9, "Good", TRUE, "Excellent")</f>
        <v>Average</v>
      </c>
      <c r="L92" t="str">
        <f t="shared" si="7"/>
        <v>M1090 - Movie_90</v>
      </c>
      <c r="M92" t="str">
        <f t="shared" si="8"/>
        <v>Fre</v>
      </c>
      <c r="N92" t="str">
        <f t="shared" si="9"/>
        <v>84</v>
      </c>
      <c r="O92">
        <f t="shared" si="10"/>
        <v>8</v>
      </c>
      <c r="P92" t="str">
        <f t="shared" si="11"/>
        <v>Sci-Fi</v>
      </c>
    </row>
    <row r="93" spans="1:16">
      <c r="A93" t="s">
        <v>216</v>
      </c>
      <c r="B93" t="s">
        <v>217</v>
      </c>
      <c r="C93" t="s">
        <v>18</v>
      </c>
      <c r="D93">
        <v>122</v>
      </c>
      <c r="E93">
        <v>3.2</v>
      </c>
      <c r="F93" t="s">
        <v>61</v>
      </c>
      <c r="G93">
        <v>2004</v>
      </c>
      <c r="H93" t="s">
        <v>25</v>
      </c>
      <c r="I93" s="2">
        <v>44021</v>
      </c>
      <c r="J93" t="str">
        <f t="shared" si="6"/>
        <v>Long</v>
      </c>
      <c r="K93" t="str" cm="1">
        <f t="array" ref="K93">_xlfn.IFS(E93&lt;4, "Poor", E93&lt;7, "Average", E93&lt;9, "Good", TRUE, "Excellent")</f>
        <v>Poor</v>
      </c>
      <c r="L93" t="str">
        <f t="shared" si="7"/>
        <v>M1091 - Movie_91</v>
      </c>
      <c r="M93" t="str">
        <f t="shared" si="8"/>
        <v>Ger</v>
      </c>
      <c r="N93" t="str">
        <f t="shared" si="9"/>
        <v>04</v>
      </c>
      <c r="O93">
        <f t="shared" si="10"/>
        <v>8</v>
      </c>
      <c r="P93" t="str">
        <f t="shared" si="11"/>
        <v>Horror</v>
      </c>
    </row>
    <row r="94" spans="1:16">
      <c r="A94" t="s">
        <v>218</v>
      </c>
      <c r="B94" t="s">
        <v>219</v>
      </c>
      <c r="C94" t="s">
        <v>40</v>
      </c>
      <c r="D94">
        <v>181</v>
      </c>
      <c r="E94">
        <v>9.1999999999999993</v>
      </c>
      <c r="F94" t="s">
        <v>24</v>
      </c>
      <c r="G94">
        <v>2012</v>
      </c>
      <c r="H94" t="s">
        <v>25</v>
      </c>
      <c r="I94" s="2">
        <v>45327</v>
      </c>
      <c r="J94" t="str">
        <f t="shared" si="6"/>
        <v>Long</v>
      </c>
      <c r="K94" t="str" cm="1">
        <f t="array" ref="K94">_xlfn.IFS(E94&lt;4, "Poor", E94&lt;7, "Average", E94&lt;9, "Good", TRUE, "Excellent")</f>
        <v>Excellent</v>
      </c>
      <c r="L94" t="str">
        <f t="shared" si="7"/>
        <v>M1092 - Movie_92</v>
      </c>
      <c r="M94" t="str">
        <f t="shared" si="8"/>
        <v>Hin</v>
      </c>
      <c r="N94" t="str">
        <f t="shared" si="9"/>
        <v>12</v>
      </c>
      <c r="O94">
        <f t="shared" si="10"/>
        <v>8</v>
      </c>
      <c r="P94" t="str">
        <f t="shared" si="11"/>
        <v>Comedy</v>
      </c>
    </row>
    <row r="95" spans="1:16">
      <c r="A95" t="s">
        <v>220</v>
      </c>
      <c r="B95" t="s">
        <v>221</v>
      </c>
      <c r="C95" t="s">
        <v>58</v>
      </c>
      <c r="D95">
        <v>78</v>
      </c>
      <c r="E95">
        <v>2.2999999999999998</v>
      </c>
      <c r="F95" t="s">
        <v>24</v>
      </c>
      <c r="G95">
        <v>2008</v>
      </c>
      <c r="H95" t="s">
        <v>25</v>
      </c>
      <c r="I95" s="2">
        <v>44769</v>
      </c>
      <c r="J95" t="str">
        <f t="shared" si="6"/>
        <v>Short</v>
      </c>
      <c r="K95" t="str" cm="1">
        <f t="array" ref="K95">_xlfn.IFS(E95&lt;4, "Poor", E95&lt;7, "Average", E95&lt;9, "Good", TRUE, "Excellent")</f>
        <v>Poor</v>
      </c>
      <c r="L95" t="str">
        <f t="shared" si="7"/>
        <v>M1093 - Movie_93</v>
      </c>
      <c r="M95" t="str">
        <f t="shared" si="8"/>
        <v>Hin</v>
      </c>
      <c r="N95" t="str">
        <f t="shared" si="9"/>
        <v>08</v>
      </c>
      <c r="O95">
        <f t="shared" si="10"/>
        <v>8</v>
      </c>
      <c r="P95" t="str">
        <f t="shared" si="11"/>
        <v>Sci-Fi</v>
      </c>
    </row>
    <row r="96" spans="1:16">
      <c r="A96" t="s">
        <v>222</v>
      </c>
      <c r="B96" t="s">
        <v>223</v>
      </c>
      <c r="C96" t="s">
        <v>18</v>
      </c>
      <c r="D96">
        <v>176</v>
      </c>
      <c r="E96">
        <v>5.2</v>
      </c>
      <c r="F96" t="s">
        <v>61</v>
      </c>
      <c r="G96">
        <v>2015</v>
      </c>
      <c r="H96" t="s">
        <v>25</v>
      </c>
      <c r="I96" s="2">
        <v>45131</v>
      </c>
      <c r="J96" t="str">
        <f t="shared" si="6"/>
        <v>Long</v>
      </c>
      <c r="K96" t="str" cm="1">
        <f t="array" ref="K96">_xlfn.IFS(E96&lt;4, "Poor", E96&lt;7, "Average", E96&lt;9, "Good", TRUE, "Excellent")</f>
        <v>Average</v>
      </c>
      <c r="L96" t="str">
        <f t="shared" si="7"/>
        <v>M1094 - Movie_94</v>
      </c>
      <c r="M96" t="str">
        <f t="shared" si="8"/>
        <v>Ger</v>
      </c>
      <c r="N96" t="str">
        <f t="shared" si="9"/>
        <v>15</v>
      </c>
      <c r="O96">
        <f t="shared" si="10"/>
        <v>8</v>
      </c>
      <c r="P96" t="str">
        <f t="shared" si="11"/>
        <v>Horror</v>
      </c>
    </row>
    <row r="97" spans="1:16">
      <c r="A97" t="s">
        <v>224</v>
      </c>
      <c r="B97" t="s">
        <v>225</v>
      </c>
      <c r="C97" t="s">
        <v>40</v>
      </c>
      <c r="D97">
        <v>166</v>
      </c>
      <c r="E97">
        <v>3.3</v>
      </c>
      <c r="F97" t="s">
        <v>28</v>
      </c>
      <c r="G97">
        <v>1997</v>
      </c>
      <c r="H97" t="s">
        <v>25</v>
      </c>
      <c r="I97" s="2">
        <v>45191</v>
      </c>
      <c r="J97" t="str">
        <f t="shared" si="6"/>
        <v>Long</v>
      </c>
      <c r="K97" t="str" cm="1">
        <f t="array" ref="K97">_xlfn.IFS(E97&lt;4, "Poor", E97&lt;7, "Average", E97&lt;9, "Good", TRUE, "Excellent")</f>
        <v>Poor</v>
      </c>
      <c r="L97" t="str">
        <f t="shared" si="7"/>
        <v>M1095 - Movie_95</v>
      </c>
      <c r="M97" t="str">
        <f t="shared" si="8"/>
        <v>Spa</v>
      </c>
      <c r="N97" t="str">
        <f t="shared" si="9"/>
        <v>97</v>
      </c>
      <c r="O97">
        <f t="shared" si="10"/>
        <v>8</v>
      </c>
      <c r="P97" t="str">
        <f t="shared" si="11"/>
        <v>Comedy</v>
      </c>
    </row>
    <row r="98" spans="1:16">
      <c r="A98" t="s">
        <v>226</v>
      </c>
      <c r="B98" t="s">
        <v>227</v>
      </c>
      <c r="C98" t="s">
        <v>40</v>
      </c>
      <c r="D98">
        <v>109</v>
      </c>
      <c r="E98">
        <v>3.3</v>
      </c>
      <c r="F98" t="s">
        <v>28</v>
      </c>
      <c r="G98">
        <v>2019</v>
      </c>
      <c r="H98" t="s">
        <v>25</v>
      </c>
      <c r="I98" s="2">
        <v>45259</v>
      </c>
      <c r="J98" t="str">
        <f t="shared" si="6"/>
        <v>Short</v>
      </c>
      <c r="K98" t="str" cm="1">
        <f t="array" ref="K98">_xlfn.IFS(E98&lt;4, "Poor", E98&lt;7, "Average", E98&lt;9, "Good", TRUE, "Excellent")</f>
        <v>Poor</v>
      </c>
      <c r="L98" t="str">
        <f t="shared" si="7"/>
        <v>M1096 - Movie_96</v>
      </c>
      <c r="M98" t="str">
        <f t="shared" si="8"/>
        <v>Spa</v>
      </c>
      <c r="N98" t="str">
        <f t="shared" si="9"/>
        <v>19</v>
      </c>
      <c r="O98">
        <f t="shared" si="10"/>
        <v>8</v>
      </c>
      <c r="P98" t="str">
        <f t="shared" si="11"/>
        <v>Comedy</v>
      </c>
    </row>
    <row r="99" spans="1:16">
      <c r="A99" t="s">
        <v>228</v>
      </c>
      <c r="B99" t="s">
        <v>229</v>
      </c>
      <c r="C99" t="s">
        <v>67</v>
      </c>
      <c r="D99">
        <v>158</v>
      </c>
      <c r="E99">
        <v>1.1000000000000001</v>
      </c>
      <c r="F99" t="s">
        <v>24</v>
      </c>
      <c r="G99">
        <v>2023</v>
      </c>
      <c r="H99" t="s">
        <v>25</v>
      </c>
      <c r="I99" s="2">
        <v>44564</v>
      </c>
      <c r="J99" t="str">
        <f t="shared" si="6"/>
        <v>Long</v>
      </c>
      <c r="K99" t="str" cm="1">
        <f t="array" ref="K99">_xlfn.IFS(E99&lt;4, "Poor", E99&lt;7, "Average", E99&lt;9, "Good", TRUE, "Excellent")</f>
        <v>Poor</v>
      </c>
      <c r="L99" t="str">
        <f t="shared" si="7"/>
        <v>M1097 - Movie_97</v>
      </c>
      <c r="M99" t="str">
        <f t="shared" si="8"/>
        <v>Hin</v>
      </c>
      <c r="N99" t="str">
        <f t="shared" si="9"/>
        <v>23</v>
      </c>
      <c r="O99">
        <f t="shared" si="10"/>
        <v>8</v>
      </c>
      <c r="P99" t="str">
        <f t="shared" si="11"/>
        <v>Thriller</v>
      </c>
    </row>
    <row r="100" spans="1:16">
      <c r="A100" t="s">
        <v>230</v>
      </c>
      <c r="B100" t="s">
        <v>231</v>
      </c>
      <c r="C100" t="s">
        <v>67</v>
      </c>
      <c r="D100">
        <v>186</v>
      </c>
      <c r="E100">
        <v>8.1999999999999993</v>
      </c>
      <c r="F100" t="s">
        <v>28</v>
      </c>
      <c r="G100">
        <v>2019</v>
      </c>
      <c r="H100" t="s">
        <v>25</v>
      </c>
      <c r="I100" s="2">
        <v>43960</v>
      </c>
      <c r="J100" t="str">
        <f t="shared" si="6"/>
        <v>Long</v>
      </c>
      <c r="K100" t="str" cm="1">
        <f t="array" ref="K100">_xlfn.IFS(E100&lt;4, "Poor", E100&lt;7, "Average", E100&lt;9, "Good", TRUE, "Excellent")</f>
        <v>Good</v>
      </c>
      <c r="L100" t="str">
        <f t="shared" si="7"/>
        <v>M1098 - Movie_98</v>
      </c>
      <c r="M100" t="str">
        <f t="shared" si="8"/>
        <v>Spa</v>
      </c>
      <c r="N100" t="str">
        <f t="shared" si="9"/>
        <v>19</v>
      </c>
      <c r="O100">
        <f t="shared" si="10"/>
        <v>8</v>
      </c>
      <c r="P100" t="str">
        <f t="shared" si="11"/>
        <v>Thriller</v>
      </c>
    </row>
    <row r="101" spans="1:16">
      <c r="A101" t="s">
        <v>232</v>
      </c>
      <c r="B101" t="s">
        <v>233</v>
      </c>
      <c r="C101" t="s">
        <v>34</v>
      </c>
      <c r="D101">
        <v>162</v>
      </c>
      <c r="E101">
        <v>9.1</v>
      </c>
      <c r="F101" t="s">
        <v>31</v>
      </c>
      <c r="G101">
        <v>1987</v>
      </c>
      <c r="H101" t="s">
        <v>25</v>
      </c>
      <c r="I101" s="2">
        <v>45460</v>
      </c>
      <c r="J101" t="str">
        <f t="shared" si="6"/>
        <v>Long</v>
      </c>
      <c r="K101" t="str" cm="1">
        <f t="array" ref="K101">_xlfn.IFS(E101&lt;4, "Poor", E101&lt;7, "Average", E101&lt;9, "Good", TRUE, "Excellent")</f>
        <v>Excellent</v>
      </c>
      <c r="L101" t="str">
        <f t="shared" si="7"/>
        <v>M1099 - Movie_99</v>
      </c>
      <c r="M101" t="str">
        <f t="shared" si="8"/>
        <v>Fre</v>
      </c>
      <c r="N101" t="str">
        <f t="shared" si="9"/>
        <v>87</v>
      </c>
      <c r="O101">
        <f t="shared" si="10"/>
        <v>8</v>
      </c>
      <c r="P101" t="str">
        <f t="shared" si="11"/>
        <v>Drama</v>
      </c>
    </row>
    <row r="102" spans="1:16">
      <c r="A102" t="s">
        <v>234</v>
      </c>
      <c r="B102" t="s">
        <v>235</v>
      </c>
      <c r="C102" t="s">
        <v>18</v>
      </c>
      <c r="D102">
        <v>122</v>
      </c>
      <c r="E102">
        <v>7.1</v>
      </c>
      <c r="F102" t="s">
        <v>35</v>
      </c>
      <c r="G102">
        <v>1988</v>
      </c>
      <c r="H102" t="s">
        <v>20</v>
      </c>
      <c r="I102" s="2">
        <v>44925</v>
      </c>
      <c r="J102" t="str">
        <f t="shared" si="6"/>
        <v>Long</v>
      </c>
      <c r="K102" t="str" cm="1">
        <f t="array" ref="K102">_xlfn.IFS(E102&lt;4, "Poor", E102&lt;7, "Average", E102&lt;9, "Good", TRUE, "Excellent")</f>
        <v>Good</v>
      </c>
      <c r="L102" t="str">
        <f t="shared" si="7"/>
        <v>M1100 - Movie_100</v>
      </c>
      <c r="M102" t="str">
        <f t="shared" si="8"/>
        <v>Eng</v>
      </c>
      <c r="N102" t="str">
        <f t="shared" si="9"/>
        <v>88</v>
      </c>
      <c r="O102">
        <f t="shared" si="10"/>
        <v>9</v>
      </c>
      <c r="P102" t="str">
        <f t="shared" si="11"/>
        <v>Horror</v>
      </c>
    </row>
    <row r="103" spans="1:16">
      <c r="A103" t="s">
        <v>236</v>
      </c>
      <c r="B103" t="s">
        <v>237</v>
      </c>
      <c r="C103" t="s">
        <v>18</v>
      </c>
      <c r="D103">
        <v>97</v>
      </c>
      <c r="E103">
        <v>2.4</v>
      </c>
      <c r="F103" t="s">
        <v>19</v>
      </c>
      <c r="G103">
        <v>1986</v>
      </c>
      <c r="H103" t="s">
        <v>25</v>
      </c>
      <c r="I103" s="2">
        <v>44645</v>
      </c>
      <c r="J103" t="str">
        <f t="shared" si="6"/>
        <v>Short</v>
      </c>
      <c r="K103" t="str" cm="1">
        <f t="array" ref="K103">_xlfn.IFS(E103&lt;4, "Poor", E103&lt;7, "Average", E103&lt;9, "Good", TRUE, "Excellent")</f>
        <v>Poor</v>
      </c>
      <c r="L103" t="str">
        <f t="shared" si="7"/>
        <v>M1101 - Movie_101</v>
      </c>
      <c r="M103" t="str">
        <f t="shared" si="8"/>
        <v>Jap</v>
      </c>
      <c r="N103" t="str">
        <f t="shared" si="9"/>
        <v>86</v>
      </c>
      <c r="O103">
        <f t="shared" si="10"/>
        <v>9</v>
      </c>
      <c r="P103" t="str">
        <f t="shared" si="11"/>
        <v>Horror</v>
      </c>
    </row>
    <row r="104" spans="1:16">
      <c r="A104" t="s">
        <v>238</v>
      </c>
      <c r="B104" t="s">
        <v>239</v>
      </c>
      <c r="C104" t="s">
        <v>58</v>
      </c>
      <c r="D104">
        <v>61</v>
      </c>
      <c r="E104">
        <v>5</v>
      </c>
      <c r="F104" t="s">
        <v>61</v>
      </c>
      <c r="G104">
        <v>2005</v>
      </c>
      <c r="H104" t="s">
        <v>25</v>
      </c>
      <c r="I104" s="2">
        <v>44277</v>
      </c>
      <c r="J104" t="str">
        <f t="shared" si="6"/>
        <v>Short</v>
      </c>
      <c r="K104" t="str" cm="1">
        <f t="array" ref="K104">_xlfn.IFS(E104&lt;4, "Poor", E104&lt;7, "Average", E104&lt;9, "Good", TRUE, "Excellent")</f>
        <v>Average</v>
      </c>
      <c r="L104" t="str">
        <f t="shared" si="7"/>
        <v>M1102 - Movie_102</v>
      </c>
      <c r="M104" t="str">
        <f t="shared" si="8"/>
        <v>Ger</v>
      </c>
      <c r="N104" t="str">
        <f t="shared" si="9"/>
        <v>05</v>
      </c>
      <c r="O104">
        <f t="shared" si="10"/>
        <v>9</v>
      </c>
      <c r="P104" t="str">
        <f t="shared" si="11"/>
        <v>Sci-Fi</v>
      </c>
    </row>
    <row r="105" spans="1:16">
      <c r="A105" t="s">
        <v>240</v>
      </c>
      <c r="B105" t="s">
        <v>241</v>
      </c>
      <c r="C105" t="s">
        <v>40</v>
      </c>
      <c r="D105">
        <v>87</v>
      </c>
      <c r="E105">
        <v>4.0999999999999996</v>
      </c>
      <c r="F105" t="s">
        <v>31</v>
      </c>
      <c r="G105">
        <v>2003</v>
      </c>
      <c r="H105" t="s">
        <v>20</v>
      </c>
      <c r="I105" s="2">
        <v>44710</v>
      </c>
      <c r="J105" t="str">
        <f t="shared" si="6"/>
        <v>Short</v>
      </c>
      <c r="K105" t="str" cm="1">
        <f t="array" ref="K105">_xlfn.IFS(E105&lt;4, "Poor", E105&lt;7, "Average", E105&lt;9, "Good", TRUE, "Excellent")</f>
        <v>Average</v>
      </c>
      <c r="L105" t="str">
        <f t="shared" si="7"/>
        <v>M1103 - Movie_103</v>
      </c>
      <c r="M105" t="str">
        <f t="shared" si="8"/>
        <v>Fre</v>
      </c>
      <c r="N105" t="str">
        <f t="shared" si="9"/>
        <v>03</v>
      </c>
      <c r="O105">
        <f t="shared" si="10"/>
        <v>9</v>
      </c>
      <c r="P105" t="str">
        <f t="shared" si="11"/>
        <v>Comedy</v>
      </c>
    </row>
    <row r="106" spans="1:16">
      <c r="A106" t="s">
        <v>242</v>
      </c>
      <c r="B106" t="s">
        <v>243</v>
      </c>
      <c r="C106" t="s">
        <v>18</v>
      </c>
      <c r="D106">
        <v>168</v>
      </c>
      <c r="E106">
        <v>6.3</v>
      </c>
      <c r="F106" t="s">
        <v>24</v>
      </c>
      <c r="G106">
        <v>2001</v>
      </c>
      <c r="H106" t="s">
        <v>25</v>
      </c>
      <c r="I106" s="2">
        <v>45520</v>
      </c>
      <c r="J106" t="str">
        <f t="shared" si="6"/>
        <v>Long</v>
      </c>
      <c r="K106" t="str" cm="1">
        <f t="array" ref="K106">_xlfn.IFS(E106&lt;4, "Poor", E106&lt;7, "Average", E106&lt;9, "Good", TRUE, "Excellent")</f>
        <v>Average</v>
      </c>
      <c r="L106" t="str">
        <f t="shared" si="7"/>
        <v>M1104 - Movie_104</v>
      </c>
      <c r="M106" t="str">
        <f t="shared" si="8"/>
        <v>Hin</v>
      </c>
      <c r="N106" t="str">
        <f t="shared" si="9"/>
        <v>01</v>
      </c>
      <c r="O106">
        <f t="shared" si="10"/>
        <v>9</v>
      </c>
      <c r="P106" t="str">
        <f t="shared" si="11"/>
        <v>Horror</v>
      </c>
    </row>
    <row r="107" spans="1:16">
      <c r="A107" t="s">
        <v>244</v>
      </c>
      <c r="B107" t="s">
        <v>245</v>
      </c>
      <c r="C107" t="s">
        <v>34</v>
      </c>
      <c r="D107">
        <v>116</v>
      </c>
      <c r="E107">
        <v>6.8</v>
      </c>
      <c r="F107" t="s">
        <v>35</v>
      </c>
      <c r="G107">
        <v>2015</v>
      </c>
      <c r="H107" t="s">
        <v>25</v>
      </c>
      <c r="I107" s="2">
        <v>44264</v>
      </c>
      <c r="J107" t="str">
        <f t="shared" si="6"/>
        <v>Short</v>
      </c>
      <c r="K107" t="str" cm="1">
        <f t="array" ref="K107">_xlfn.IFS(E107&lt;4, "Poor", E107&lt;7, "Average", E107&lt;9, "Good", TRUE, "Excellent")</f>
        <v>Average</v>
      </c>
      <c r="L107" t="str">
        <f t="shared" si="7"/>
        <v>M1105 - Movie_105</v>
      </c>
      <c r="M107" t="str">
        <f t="shared" si="8"/>
        <v>Eng</v>
      </c>
      <c r="N107" t="str">
        <f t="shared" si="9"/>
        <v>15</v>
      </c>
      <c r="O107">
        <f t="shared" si="10"/>
        <v>9</v>
      </c>
      <c r="P107" t="str">
        <f t="shared" si="11"/>
        <v>Drama</v>
      </c>
    </row>
    <row r="108" spans="1:16">
      <c r="A108" t="s">
        <v>246</v>
      </c>
      <c r="B108" t="s">
        <v>247</v>
      </c>
      <c r="C108" t="s">
        <v>23</v>
      </c>
      <c r="D108">
        <v>105</v>
      </c>
      <c r="E108">
        <v>4.8</v>
      </c>
      <c r="F108" t="s">
        <v>19</v>
      </c>
      <c r="G108">
        <v>2003</v>
      </c>
      <c r="H108" t="s">
        <v>25</v>
      </c>
      <c r="I108" s="2">
        <v>44844</v>
      </c>
      <c r="J108" t="str">
        <f t="shared" si="6"/>
        <v>Short</v>
      </c>
      <c r="K108" t="str" cm="1">
        <f t="array" ref="K108">_xlfn.IFS(E108&lt;4, "Poor", E108&lt;7, "Average", E108&lt;9, "Good", TRUE, "Excellent")</f>
        <v>Average</v>
      </c>
      <c r="L108" t="str">
        <f t="shared" si="7"/>
        <v>M1106 - Movie_106</v>
      </c>
      <c r="M108" t="str">
        <f t="shared" si="8"/>
        <v>Jap</v>
      </c>
      <c r="N108" t="str">
        <f t="shared" si="9"/>
        <v>03</v>
      </c>
      <c r="O108">
        <f t="shared" si="10"/>
        <v>9</v>
      </c>
      <c r="P108" t="str">
        <f t="shared" si="11"/>
        <v>Action</v>
      </c>
    </row>
    <row r="109" spans="1:16">
      <c r="A109" t="s">
        <v>248</v>
      </c>
      <c r="B109" t="s">
        <v>249</v>
      </c>
      <c r="C109" t="s">
        <v>40</v>
      </c>
      <c r="D109">
        <v>192</v>
      </c>
      <c r="E109">
        <v>3.3</v>
      </c>
      <c r="F109" t="s">
        <v>24</v>
      </c>
      <c r="G109">
        <v>1989</v>
      </c>
      <c r="H109" t="s">
        <v>20</v>
      </c>
      <c r="I109" s="2">
        <v>44380</v>
      </c>
      <c r="J109" t="str">
        <f t="shared" si="6"/>
        <v>Long</v>
      </c>
      <c r="K109" t="str" cm="1">
        <f t="array" ref="K109">_xlfn.IFS(E109&lt;4, "Poor", E109&lt;7, "Average", E109&lt;9, "Good", TRUE, "Excellent")</f>
        <v>Poor</v>
      </c>
      <c r="L109" t="str">
        <f t="shared" si="7"/>
        <v>M1107 - Movie_107</v>
      </c>
      <c r="M109" t="str">
        <f t="shared" si="8"/>
        <v>Hin</v>
      </c>
      <c r="N109" t="str">
        <f t="shared" si="9"/>
        <v>89</v>
      </c>
      <c r="O109">
        <f t="shared" si="10"/>
        <v>9</v>
      </c>
      <c r="P109" t="str">
        <f t="shared" si="11"/>
        <v>Comedy</v>
      </c>
    </row>
    <row r="110" spans="1:16">
      <c r="A110" t="s">
        <v>250</v>
      </c>
      <c r="B110" t="s">
        <v>251</v>
      </c>
      <c r="C110" t="s">
        <v>23</v>
      </c>
      <c r="D110">
        <v>178</v>
      </c>
      <c r="E110">
        <v>8.6</v>
      </c>
      <c r="F110" t="s">
        <v>35</v>
      </c>
      <c r="G110">
        <v>1992</v>
      </c>
      <c r="H110" t="s">
        <v>20</v>
      </c>
      <c r="I110" s="2">
        <v>44492</v>
      </c>
      <c r="J110" t="str">
        <f t="shared" si="6"/>
        <v>Long</v>
      </c>
      <c r="K110" t="str" cm="1">
        <f t="array" ref="K110">_xlfn.IFS(E110&lt;4, "Poor", E110&lt;7, "Average", E110&lt;9, "Good", TRUE, "Excellent")</f>
        <v>Good</v>
      </c>
      <c r="L110" t="str">
        <f t="shared" si="7"/>
        <v>M1108 - Movie_108</v>
      </c>
      <c r="M110" t="str">
        <f t="shared" si="8"/>
        <v>Eng</v>
      </c>
      <c r="N110" t="str">
        <f t="shared" si="9"/>
        <v>92</v>
      </c>
      <c r="O110">
        <f t="shared" si="10"/>
        <v>9</v>
      </c>
      <c r="P110" t="str">
        <f t="shared" si="11"/>
        <v>Action</v>
      </c>
    </row>
    <row r="111" spans="1:16">
      <c r="A111" t="s">
        <v>252</v>
      </c>
      <c r="B111" t="s">
        <v>253</v>
      </c>
      <c r="C111" t="s">
        <v>34</v>
      </c>
      <c r="D111">
        <v>72</v>
      </c>
      <c r="E111">
        <v>2.8</v>
      </c>
      <c r="F111" t="s">
        <v>31</v>
      </c>
      <c r="G111">
        <v>2018</v>
      </c>
      <c r="H111" t="s">
        <v>20</v>
      </c>
      <c r="I111" s="2">
        <v>45527</v>
      </c>
      <c r="J111" t="str">
        <f t="shared" si="6"/>
        <v>Short</v>
      </c>
      <c r="K111" t="str" cm="1">
        <f t="array" ref="K111">_xlfn.IFS(E111&lt;4, "Poor", E111&lt;7, "Average", E111&lt;9, "Good", TRUE, "Excellent")</f>
        <v>Poor</v>
      </c>
      <c r="L111" t="str">
        <f t="shared" si="7"/>
        <v>M1109 - Movie_109</v>
      </c>
      <c r="M111" t="str">
        <f t="shared" si="8"/>
        <v>Fre</v>
      </c>
      <c r="N111" t="str">
        <f t="shared" si="9"/>
        <v>18</v>
      </c>
      <c r="O111">
        <f t="shared" si="10"/>
        <v>9</v>
      </c>
      <c r="P111" t="str">
        <f t="shared" si="11"/>
        <v>Drama</v>
      </c>
    </row>
    <row r="112" spans="1:16">
      <c r="A112" t="s">
        <v>254</v>
      </c>
      <c r="B112" t="s">
        <v>255</v>
      </c>
      <c r="C112" t="s">
        <v>67</v>
      </c>
      <c r="D112">
        <v>123</v>
      </c>
      <c r="E112">
        <v>4.5</v>
      </c>
      <c r="F112" t="s">
        <v>35</v>
      </c>
      <c r="G112">
        <v>2012</v>
      </c>
      <c r="H112" t="s">
        <v>20</v>
      </c>
      <c r="I112" s="2">
        <v>44411</v>
      </c>
      <c r="J112" t="str">
        <f t="shared" si="6"/>
        <v>Long</v>
      </c>
      <c r="K112" t="str" cm="1">
        <f t="array" ref="K112">_xlfn.IFS(E112&lt;4, "Poor", E112&lt;7, "Average", E112&lt;9, "Good", TRUE, "Excellent")</f>
        <v>Average</v>
      </c>
      <c r="L112" t="str">
        <f t="shared" si="7"/>
        <v>M1110 - Movie_110</v>
      </c>
      <c r="M112" t="str">
        <f t="shared" si="8"/>
        <v>Eng</v>
      </c>
      <c r="N112" t="str">
        <f t="shared" si="9"/>
        <v>12</v>
      </c>
      <c r="O112">
        <f t="shared" si="10"/>
        <v>9</v>
      </c>
      <c r="P112" t="str">
        <f t="shared" si="11"/>
        <v>Thriller</v>
      </c>
    </row>
    <row r="113" spans="1:16">
      <c r="A113" t="s">
        <v>256</v>
      </c>
      <c r="B113" t="s">
        <v>257</v>
      </c>
      <c r="C113" t="s">
        <v>34</v>
      </c>
      <c r="D113">
        <v>91</v>
      </c>
      <c r="E113">
        <v>5.3</v>
      </c>
      <c r="F113" t="s">
        <v>28</v>
      </c>
      <c r="G113">
        <v>2005</v>
      </c>
      <c r="H113" t="s">
        <v>25</v>
      </c>
      <c r="I113" s="2">
        <v>44522</v>
      </c>
      <c r="J113" t="str">
        <f t="shared" si="6"/>
        <v>Short</v>
      </c>
      <c r="K113" t="str" cm="1">
        <f t="array" ref="K113">_xlfn.IFS(E113&lt;4, "Poor", E113&lt;7, "Average", E113&lt;9, "Good", TRUE, "Excellent")</f>
        <v>Average</v>
      </c>
      <c r="L113" t="str">
        <f t="shared" si="7"/>
        <v>M1111 - Movie_111</v>
      </c>
      <c r="M113" t="str">
        <f t="shared" si="8"/>
        <v>Spa</v>
      </c>
      <c r="N113" t="str">
        <f t="shared" si="9"/>
        <v>05</v>
      </c>
      <c r="O113">
        <f t="shared" si="10"/>
        <v>9</v>
      </c>
      <c r="P113" t="str">
        <f t="shared" si="11"/>
        <v>Drama</v>
      </c>
    </row>
    <row r="114" spans="1:16">
      <c r="A114" t="s">
        <v>258</v>
      </c>
      <c r="B114" t="s">
        <v>259</v>
      </c>
      <c r="C114" t="s">
        <v>23</v>
      </c>
      <c r="D114">
        <v>176</v>
      </c>
      <c r="E114">
        <v>3.1</v>
      </c>
      <c r="F114" t="s">
        <v>31</v>
      </c>
      <c r="G114">
        <v>2012</v>
      </c>
      <c r="H114" t="s">
        <v>25</v>
      </c>
      <c r="I114" s="2">
        <v>44951</v>
      </c>
      <c r="J114" t="str">
        <f t="shared" si="6"/>
        <v>Long</v>
      </c>
      <c r="K114" t="str" cm="1">
        <f t="array" ref="K114">_xlfn.IFS(E114&lt;4, "Poor", E114&lt;7, "Average", E114&lt;9, "Good", TRUE, "Excellent")</f>
        <v>Poor</v>
      </c>
      <c r="L114" t="str">
        <f t="shared" si="7"/>
        <v>M1112 - Movie_112</v>
      </c>
      <c r="M114" t="str">
        <f t="shared" si="8"/>
        <v>Fre</v>
      </c>
      <c r="N114" t="str">
        <f t="shared" si="9"/>
        <v>12</v>
      </c>
      <c r="O114">
        <f t="shared" si="10"/>
        <v>9</v>
      </c>
      <c r="P114" t="str">
        <f t="shared" si="11"/>
        <v>Action</v>
      </c>
    </row>
    <row r="115" spans="1:16">
      <c r="A115" t="s">
        <v>260</v>
      </c>
      <c r="B115" t="s">
        <v>261</v>
      </c>
      <c r="C115" t="s">
        <v>40</v>
      </c>
      <c r="D115">
        <v>94</v>
      </c>
      <c r="E115">
        <v>6.1</v>
      </c>
      <c r="F115" t="s">
        <v>61</v>
      </c>
      <c r="G115">
        <v>1982</v>
      </c>
      <c r="H115" t="s">
        <v>25</v>
      </c>
      <c r="I115" s="2">
        <v>45014</v>
      </c>
      <c r="J115" t="str">
        <f t="shared" si="6"/>
        <v>Short</v>
      </c>
      <c r="K115" t="str" cm="1">
        <f t="array" ref="K115">_xlfn.IFS(E115&lt;4, "Poor", E115&lt;7, "Average", E115&lt;9, "Good", TRUE, "Excellent")</f>
        <v>Average</v>
      </c>
      <c r="L115" t="str">
        <f t="shared" si="7"/>
        <v>M1113 - Movie_113</v>
      </c>
      <c r="M115" t="str">
        <f t="shared" si="8"/>
        <v>Ger</v>
      </c>
      <c r="N115" t="str">
        <f t="shared" si="9"/>
        <v>82</v>
      </c>
      <c r="O115">
        <f t="shared" si="10"/>
        <v>9</v>
      </c>
      <c r="P115" t="str">
        <f t="shared" si="11"/>
        <v>Comedy</v>
      </c>
    </row>
    <row r="116" spans="1:16">
      <c r="A116" t="s">
        <v>262</v>
      </c>
      <c r="B116" t="s">
        <v>263</v>
      </c>
      <c r="C116" t="s">
        <v>58</v>
      </c>
      <c r="D116">
        <v>178</v>
      </c>
      <c r="E116">
        <v>6.2</v>
      </c>
      <c r="F116" t="s">
        <v>24</v>
      </c>
      <c r="G116">
        <v>1982</v>
      </c>
      <c r="H116" t="s">
        <v>20</v>
      </c>
      <c r="I116" s="2">
        <v>44098</v>
      </c>
      <c r="J116" t="str">
        <f t="shared" si="6"/>
        <v>Long</v>
      </c>
      <c r="K116" t="str" cm="1">
        <f t="array" ref="K116">_xlfn.IFS(E116&lt;4, "Poor", E116&lt;7, "Average", E116&lt;9, "Good", TRUE, "Excellent")</f>
        <v>Average</v>
      </c>
      <c r="L116" t="str">
        <f t="shared" si="7"/>
        <v>M1114 - Movie_114</v>
      </c>
      <c r="M116" t="str">
        <f t="shared" si="8"/>
        <v>Hin</v>
      </c>
      <c r="N116" t="str">
        <f t="shared" si="9"/>
        <v>82</v>
      </c>
      <c r="O116">
        <f t="shared" si="10"/>
        <v>9</v>
      </c>
      <c r="P116" t="str">
        <f t="shared" si="11"/>
        <v>Sci-Fi</v>
      </c>
    </row>
    <row r="117" spans="1:16">
      <c r="A117" t="s">
        <v>264</v>
      </c>
      <c r="B117" t="s">
        <v>265</v>
      </c>
      <c r="C117" t="s">
        <v>18</v>
      </c>
      <c r="D117">
        <v>195</v>
      </c>
      <c r="E117">
        <v>9.9</v>
      </c>
      <c r="F117" t="s">
        <v>28</v>
      </c>
      <c r="G117">
        <v>1982</v>
      </c>
      <c r="H117" t="s">
        <v>20</v>
      </c>
      <c r="I117" s="2">
        <v>44990</v>
      </c>
      <c r="J117" t="str">
        <f t="shared" si="6"/>
        <v>Long</v>
      </c>
      <c r="K117" t="str" cm="1">
        <f t="array" ref="K117">_xlfn.IFS(E117&lt;4, "Poor", E117&lt;7, "Average", E117&lt;9, "Good", TRUE, "Excellent")</f>
        <v>Excellent</v>
      </c>
      <c r="L117" t="str">
        <f t="shared" si="7"/>
        <v>M1115 - Movie_115</v>
      </c>
      <c r="M117" t="str">
        <f t="shared" si="8"/>
        <v>Spa</v>
      </c>
      <c r="N117" t="str">
        <f t="shared" si="9"/>
        <v>82</v>
      </c>
      <c r="O117">
        <f t="shared" si="10"/>
        <v>9</v>
      </c>
      <c r="P117" t="str">
        <f t="shared" si="11"/>
        <v>Horror</v>
      </c>
    </row>
    <row r="118" spans="1:16">
      <c r="A118" t="s">
        <v>266</v>
      </c>
      <c r="B118" t="s">
        <v>267</v>
      </c>
      <c r="C118" t="s">
        <v>34</v>
      </c>
      <c r="D118">
        <v>141</v>
      </c>
      <c r="E118">
        <v>3.7</v>
      </c>
      <c r="F118" t="s">
        <v>61</v>
      </c>
      <c r="G118">
        <v>1988</v>
      </c>
      <c r="H118" t="s">
        <v>25</v>
      </c>
      <c r="I118" s="2">
        <v>44824</v>
      </c>
      <c r="J118" t="str">
        <f t="shared" si="6"/>
        <v>Long</v>
      </c>
      <c r="K118" t="str" cm="1">
        <f t="array" ref="K118">_xlfn.IFS(E118&lt;4, "Poor", E118&lt;7, "Average", E118&lt;9, "Good", TRUE, "Excellent")</f>
        <v>Poor</v>
      </c>
      <c r="L118" t="str">
        <f t="shared" si="7"/>
        <v>M1116 - Movie_116</v>
      </c>
      <c r="M118" t="str">
        <f t="shared" si="8"/>
        <v>Ger</v>
      </c>
      <c r="N118" t="str">
        <f t="shared" si="9"/>
        <v>88</v>
      </c>
      <c r="O118">
        <f t="shared" si="10"/>
        <v>9</v>
      </c>
      <c r="P118" t="str">
        <f t="shared" si="11"/>
        <v>Drama</v>
      </c>
    </row>
    <row r="119" spans="1:16">
      <c r="A119" t="s">
        <v>268</v>
      </c>
      <c r="B119" t="s">
        <v>269</v>
      </c>
      <c r="C119" t="s">
        <v>40</v>
      </c>
      <c r="D119">
        <v>173</v>
      </c>
      <c r="E119">
        <v>9.8000000000000007</v>
      </c>
      <c r="F119" t="s">
        <v>35</v>
      </c>
      <c r="G119">
        <v>2025</v>
      </c>
      <c r="H119" t="s">
        <v>20</v>
      </c>
      <c r="I119" s="2">
        <v>45445</v>
      </c>
      <c r="J119" t="str">
        <f t="shared" si="6"/>
        <v>Long</v>
      </c>
      <c r="K119" t="str" cm="1">
        <f t="array" ref="K119">_xlfn.IFS(E119&lt;4, "Poor", E119&lt;7, "Average", E119&lt;9, "Good", TRUE, "Excellent")</f>
        <v>Excellent</v>
      </c>
      <c r="L119" t="str">
        <f t="shared" si="7"/>
        <v>M1117 - Movie_117</v>
      </c>
      <c r="M119" t="str">
        <f t="shared" si="8"/>
        <v>Eng</v>
      </c>
      <c r="N119" t="str">
        <f t="shared" si="9"/>
        <v>25</v>
      </c>
      <c r="O119">
        <f t="shared" si="10"/>
        <v>9</v>
      </c>
      <c r="P119" t="str">
        <f t="shared" si="11"/>
        <v>Comedy</v>
      </c>
    </row>
    <row r="120" spans="1:16">
      <c r="A120" t="s">
        <v>270</v>
      </c>
      <c r="B120" t="s">
        <v>271</v>
      </c>
      <c r="C120" t="s">
        <v>18</v>
      </c>
      <c r="D120">
        <v>189</v>
      </c>
      <c r="E120">
        <v>6.9</v>
      </c>
      <c r="F120" t="s">
        <v>28</v>
      </c>
      <c r="G120">
        <v>2001</v>
      </c>
      <c r="H120" t="s">
        <v>25</v>
      </c>
      <c r="I120" s="2">
        <v>44534</v>
      </c>
      <c r="J120" t="str">
        <f t="shared" si="6"/>
        <v>Long</v>
      </c>
      <c r="K120" t="str" cm="1">
        <f t="array" ref="K120">_xlfn.IFS(E120&lt;4, "Poor", E120&lt;7, "Average", E120&lt;9, "Good", TRUE, "Excellent")</f>
        <v>Average</v>
      </c>
      <c r="L120" t="str">
        <f t="shared" si="7"/>
        <v>M1118 - Movie_118</v>
      </c>
      <c r="M120" t="str">
        <f t="shared" si="8"/>
        <v>Spa</v>
      </c>
      <c r="N120" t="str">
        <f t="shared" si="9"/>
        <v>01</v>
      </c>
      <c r="O120">
        <f t="shared" si="10"/>
        <v>9</v>
      </c>
      <c r="P120" t="str">
        <f t="shared" si="11"/>
        <v>Horror</v>
      </c>
    </row>
    <row r="121" spans="1:16">
      <c r="A121" t="s">
        <v>272</v>
      </c>
      <c r="B121" t="s">
        <v>273</v>
      </c>
      <c r="C121" t="s">
        <v>67</v>
      </c>
      <c r="D121">
        <v>169</v>
      </c>
      <c r="E121">
        <v>3.5</v>
      </c>
      <c r="F121" t="s">
        <v>61</v>
      </c>
      <c r="G121">
        <v>2010</v>
      </c>
      <c r="H121" t="s">
        <v>20</v>
      </c>
      <c r="I121" s="2">
        <v>45228</v>
      </c>
      <c r="J121" t="str">
        <f t="shared" si="6"/>
        <v>Long</v>
      </c>
      <c r="K121" t="str" cm="1">
        <f t="array" ref="K121">_xlfn.IFS(E121&lt;4, "Poor", E121&lt;7, "Average", E121&lt;9, "Good", TRUE, "Excellent")</f>
        <v>Poor</v>
      </c>
      <c r="L121" t="str">
        <f t="shared" si="7"/>
        <v>M1119 - Movie_119</v>
      </c>
      <c r="M121" t="str">
        <f t="shared" si="8"/>
        <v>Ger</v>
      </c>
      <c r="N121" t="str">
        <f t="shared" si="9"/>
        <v>10</v>
      </c>
      <c r="O121">
        <f t="shared" si="10"/>
        <v>9</v>
      </c>
      <c r="P121" t="str">
        <f t="shared" si="11"/>
        <v>Thriller</v>
      </c>
    </row>
    <row r="122" spans="1:16">
      <c r="A122" t="s">
        <v>274</v>
      </c>
      <c r="B122" t="s">
        <v>275</v>
      </c>
      <c r="C122" t="s">
        <v>67</v>
      </c>
      <c r="D122">
        <v>200</v>
      </c>
      <c r="E122">
        <v>6.1</v>
      </c>
      <c r="F122" t="s">
        <v>31</v>
      </c>
      <c r="G122">
        <v>2013</v>
      </c>
      <c r="H122" t="s">
        <v>25</v>
      </c>
      <c r="I122" s="2">
        <v>45392</v>
      </c>
      <c r="J122" t="str">
        <f t="shared" si="6"/>
        <v>Long</v>
      </c>
      <c r="K122" t="str" cm="1">
        <f t="array" ref="K122">_xlfn.IFS(E122&lt;4, "Poor", E122&lt;7, "Average", E122&lt;9, "Good", TRUE, "Excellent")</f>
        <v>Average</v>
      </c>
      <c r="L122" t="str">
        <f t="shared" si="7"/>
        <v>M1120 - Movie_120</v>
      </c>
      <c r="M122" t="str">
        <f t="shared" si="8"/>
        <v>Fre</v>
      </c>
      <c r="N122" t="str">
        <f t="shared" si="9"/>
        <v>13</v>
      </c>
      <c r="O122">
        <f t="shared" si="10"/>
        <v>9</v>
      </c>
      <c r="P122" t="str">
        <f t="shared" si="11"/>
        <v>Thriller</v>
      </c>
    </row>
    <row r="123" spans="1:16">
      <c r="A123" t="s">
        <v>276</v>
      </c>
      <c r="B123" t="s">
        <v>277</v>
      </c>
      <c r="C123" t="s">
        <v>18</v>
      </c>
      <c r="D123">
        <v>174</v>
      </c>
      <c r="E123">
        <v>7.2</v>
      </c>
      <c r="F123" t="s">
        <v>35</v>
      </c>
      <c r="G123">
        <v>2009</v>
      </c>
      <c r="H123" t="s">
        <v>25</v>
      </c>
      <c r="I123" s="2">
        <v>43930</v>
      </c>
      <c r="J123" t="str">
        <f t="shared" si="6"/>
        <v>Long</v>
      </c>
      <c r="K123" t="str" cm="1">
        <f t="array" ref="K123">_xlfn.IFS(E123&lt;4, "Poor", E123&lt;7, "Average", E123&lt;9, "Good", TRUE, "Excellent")</f>
        <v>Good</v>
      </c>
      <c r="L123" t="str">
        <f t="shared" si="7"/>
        <v>M1121 - Movie_121</v>
      </c>
      <c r="M123" t="str">
        <f t="shared" si="8"/>
        <v>Eng</v>
      </c>
      <c r="N123" t="str">
        <f t="shared" si="9"/>
        <v>09</v>
      </c>
      <c r="O123">
        <f t="shared" si="10"/>
        <v>9</v>
      </c>
      <c r="P123" t="str">
        <f t="shared" si="11"/>
        <v>Horror</v>
      </c>
    </row>
    <row r="124" spans="1:16">
      <c r="A124" t="s">
        <v>278</v>
      </c>
      <c r="B124" t="s">
        <v>279</v>
      </c>
      <c r="C124" t="s">
        <v>67</v>
      </c>
      <c r="D124">
        <v>100</v>
      </c>
      <c r="E124">
        <v>7.7</v>
      </c>
      <c r="F124" t="s">
        <v>61</v>
      </c>
      <c r="G124">
        <v>1989</v>
      </c>
      <c r="H124" t="s">
        <v>25</v>
      </c>
      <c r="I124" s="2">
        <v>43925</v>
      </c>
      <c r="J124" t="str">
        <f t="shared" si="6"/>
        <v>Short</v>
      </c>
      <c r="K124" t="str" cm="1">
        <f t="array" ref="K124">_xlfn.IFS(E124&lt;4, "Poor", E124&lt;7, "Average", E124&lt;9, "Good", TRUE, "Excellent")</f>
        <v>Good</v>
      </c>
      <c r="L124" t="str">
        <f t="shared" si="7"/>
        <v>M1122 - Movie_122</v>
      </c>
      <c r="M124" t="str">
        <f t="shared" si="8"/>
        <v>Ger</v>
      </c>
      <c r="N124" t="str">
        <f t="shared" si="9"/>
        <v>89</v>
      </c>
      <c r="O124">
        <f t="shared" si="10"/>
        <v>9</v>
      </c>
      <c r="P124" t="str">
        <f t="shared" si="11"/>
        <v>Thriller</v>
      </c>
    </row>
    <row r="125" spans="1:16">
      <c r="A125" t="s">
        <v>280</v>
      </c>
      <c r="B125" t="s">
        <v>281</v>
      </c>
      <c r="C125" t="s">
        <v>40</v>
      </c>
      <c r="D125">
        <v>181</v>
      </c>
      <c r="E125">
        <v>1.4</v>
      </c>
      <c r="F125" t="s">
        <v>35</v>
      </c>
      <c r="G125">
        <v>2018</v>
      </c>
      <c r="H125" t="s">
        <v>25</v>
      </c>
      <c r="I125" s="2">
        <v>44034</v>
      </c>
      <c r="J125" t="str">
        <f t="shared" si="6"/>
        <v>Long</v>
      </c>
      <c r="K125" t="str" cm="1">
        <f t="array" ref="K125">_xlfn.IFS(E125&lt;4, "Poor", E125&lt;7, "Average", E125&lt;9, "Good", TRUE, "Excellent")</f>
        <v>Poor</v>
      </c>
      <c r="L125" t="str">
        <f t="shared" si="7"/>
        <v>M1123 - Movie_123</v>
      </c>
      <c r="M125" t="str">
        <f t="shared" si="8"/>
        <v>Eng</v>
      </c>
      <c r="N125" t="str">
        <f t="shared" si="9"/>
        <v>18</v>
      </c>
      <c r="O125">
        <f t="shared" si="10"/>
        <v>9</v>
      </c>
      <c r="P125" t="str">
        <f t="shared" si="11"/>
        <v>Comedy</v>
      </c>
    </row>
    <row r="126" spans="1:16">
      <c r="A126" t="s">
        <v>282</v>
      </c>
      <c r="B126" t="s">
        <v>283</v>
      </c>
      <c r="C126" t="s">
        <v>34</v>
      </c>
      <c r="D126">
        <v>175</v>
      </c>
      <c r="E126">
        <v>6.5</v>
      </c>
      <c r="F126" t="s">
        <v>61</v>
      </c>
      <c r="G126">
        <v>2012</v>
      </c>
      <c r="H126" t="s">
        <v>25</v>
      </c>
      <c r="I126" s="2">
        <v>45113</v>
      </c>
      <c r="J126" t="str">
        <f t="shared" si="6"/>
        <v>Long</v>
      </c>
      <c r="K126" t="str" cm="1">
        <f t="array" ref="K126">_xlfn.IFS(E126&lt;4, "Poor", E126&lt;7, "Average", E126&lt;9, "Good", TRUE, "Excellent")</f>
        <v>Average</v>
      </c>
      <c r="L126" t="str">
        <f t="shared" si="7"/>
        <v>M1124 - Movie_124</v>
      </c>
      <c r="M126" t="str">
        <f t="shared" si="8"/>
        <v>Ger</v>
      </c>
      <c r="N126" t="str">
        <f t="shared" si="9"/>
        <v>12</v>
      </c>
      <c r="O126">
        <f t="shared" si="10"/>
        <v>9</v>
      </c>
      <c r="P126" t="str">
        <f t="shared" si="11"/>
        <v>Drama</v>
      </c>
    </row>
    <row r="127" spans="1:16">
      <c r="A127" t="s">
        <v>284</v>
      </c>
      <c r="B127" t="s">
        <v>285</v>
      </c>
      <c r="C127" t="s">
        <v>40</v>
      </c>
      <c r="D127">
        <v>126</v>
      </c>
      <c r="E127">
        <v>5.5</v>
      </c>
      <c r="F127" t="s">
        <v>24</v>
      </c>
      <c r="G127">
        <v>1988</v>
      </c>
      <c r="H127" t="s">
        <v>25</v>
      </c>
      <c r="I127" s="2">
        <v>45436</v>
      </c>
      <c r="J127" t="str">
        <f t="shared" si="6"/>
        <v>Long</v>
      </c>
      <c r="K127" t="str" cm="1">
        <f t="array" ref="K127">_xlfn.IFS(E127&lt;4, "Poor", E127&lt;7, "Average", E127&lt;9, "Good", TRUE, "Excellent")</f>
        <v>Average</v>
      </c>
      <c r="L127" t="str">
        <f t="shared" si="7"/>
        <v>M1125 - Movie_125</v>
      </c>
      <c r="M127" t="str">
        <f t="shared" si="8"/>
        <v>Hin</v>
      </c>
      <c r="N127" t="str">
        <f t="shared" si="9"/>
        <v>88</v>
      </c>
      <c r="O127">
        <f t="shared" si="10"/>
        <v>9</v>
      </c>
      <c r="P127" t="str">
        <f t="shared" si="11"/>
        <v>Comedy</v>
      </c>
    </row>
    <row r="128" spans="1:16">
      <c r="A128" t="s">
        <v>286</v>
      </c>
      <c r="B128" t="s">
        <v>287</v>
      </c>
      <c r="C128" t="s">
        <v>40</v>
      </c>
      <c r="D128">
        <v>123</v>
      </c>
      <c r="E128">
        <v>9.1</v>
      </c>
      <c r="F128" t="s">
        <v>31</v>
      </c>
      <c r="G128">
        <v>2000</v>
      </c>
      <c r="H128" t="s">
        <v>20</v>
      </c>
      <c r="I128" s="2">
        <v>44772</v>
      </c>
      <c r="J128" t="str">
        <f t="shared" si="6"/>
        <v>Long</v>
      </c>
      <c r="K128" t="str" cm="1">
        <f t="array" ref="K128">_xlfn.IFS(E128&lt;4, "Poor", E128&lt;7, "Average", E128&lt;9, "Good", TRUE, "Excellent")</f>
        <v>Excellent</v>
      </c>
      <c r="L128" t="str">
        <f t="shared" si="7"/>
        <v>M1126 - Movie_126</v>
      </c>
      <c r="M128" t="str">
        <f t="shared" si="8"/>
        <v>Fre</v>
      </c>
      <c r="N128" t="str">
        <f t="shared" si="9"/>
        <v>00</v>
      </c>
      <c r="O128">
        <f t="shared" si="10"/>
        <v>9</v>
      </c>
      <c r="P128" t="str">
        <f t="shared" si="11"/>
        <v>Comedy</v>
      </c>
    </row>
    <row r="129" spans="1:16">
      <c r="A129" t="s">
        <v>288</v>
      </c>
      <c r="B129" t="s">
        <v>289</v>
      </c>
      <c r="C129" t="s">
        <v>18</v>
      </c>
      <c r="D129">
        <v>130</v>
      </c>
      <c r="E129">
        <v>3.6</v>
      </c>
      <c r="F129" t="s">
        <v>28</v>
      </c>
      <c r="G129">
        <v>2019</v>
      </c>
      <c r="H129" t="s">
        <v>25</v>
      </c>
      <c r="I129" s="2">
        <v>43864</v>
      </c>
      <c r="J129" t="str">
        <f t="shared" si="6"/>
        <v>Long</v>
      </c>
      <c r="K129" t="str" cm="1">
        <f t="array" ref="K129">_xlfn.IFS(E129&lt;4, "Poor", E129&lt;7, "Average", E129&lt;9, "Good", TRUE, "Excellent")</f>
        <v>Poor</v>
      </c>
      <c r="L129" t="str">
        <f t="shared" si="7"/>
        <v>M1127 - Movie_127</v>
      </c>
      <c r="M129" t="str">
        <f t="shared" si="8"/>
        <v>Spa</v>
      </c>
      <c r="N129" t="str">
        <f t="shared" si="9"/>
        <v>19</v>
      </c>
      <c r="O129">
        <f t="shared" si="10"/>
        <v>9</v>
      </c>
      <c r="P129" t="str">
        <f t="shared" si="11"/>
        <v>Horror</v>
      </c>
    </row>
    <row r="130" spans="1:16">
      <c r="A130" t="s">
        <v>290</v>
      </c>
      <c r="B130" t="s">
        <v>291</v>
      </c>
      <c r="C130" t="s">
        <v>58</v>
      </c>
      <c r="D130">
        <v>193</v>
      </c>
      <c r="E130">
        <v>8.1999999999999993</v>
      </c>
      <c r="F130" t="s">
        <v>61</v>
      </c>
      <c r="G130">
        <v>2000</v>
      </c>
      <c r="H130" t="s">
        <v>20</v>
      </c>
      <c r="I130" s="2">
        <v>44085</v>
      </c>
      <c r="J130" t="str">
        <f t="shared" si="6"/>
        <v>Long</v>
      </c>
      <c r="K130" t="str" cm="1">
        <f t="array" ref="K130">_xlfn.IFS(E130&lt;4, "Poor", E130&lt;7, "Average", E130&lt;9, "Good", TRUE, "Excellent")</f>
        <v>Good</v>
      </c>
      <c r="L130" t="str">
        <f t="shared" si="7"/>
        <v>M1128 - Movie_128</v>
      </c>
      <c r="M130" t="str">
        <f t="shared" si="8"/>
        <v>Ger</v>
      </c>
      <c r="N130" t="str">
        <f t="shared" si="9"/>
        <v>00</v>
      </c>
      <c r="O130">
        <f t="shared" si="10"/>
        <v>9</v>
      </c>
      <c r="P130" t="str">
        <f t="shared" si="11"/>
        <v>Sci-Fi</v>
      </c>
    </row>
    <row r="131" spans="1:16">
      <c r="A131" t="s">
        <v>292</v>
      </c>
      <c r="B131" t="s">
        <v>293</v>
      </c>
      <c r="C131" t="s">
        <v>58</v>
      </c>
      <c r="D131">
        <v>184</v>
      </c>
      <c r="E131">
        <v>6.5</v>
      </c>
      <c r="F131" t="s">
        <v>35</v>
      </c>
      <c r="G131">
        <v>1990</v>
      </c>
      <c r="H131" t="s">
        <v>20</v>
      </c>
      <c r="I131" s="2">
        <v>44154</v>
      </c>
      <c r="J131" t="str">
        <f t="shared" ref="J131:J194" si="12">IF(D131&gt;120, "Long", "Short")</f>
        <v>Long</v>
      </c>
      <c r="K131" t="str" cm="1">
        <f t="array" ref="K131">_xlfn.IFS(E131&lt;4, "Poor", E131&lt;7, "Average", E131&lt;9, "Good", TRUE, "Excellent")</f>
        <v>Average</v>
      </c>
      <c r="L131" t="str">
        <f t="shared" ref="L131:L194" si="13">_xlfn.CONCAT(A131, " - ", B131)</f>
        <v>M1129 - Movie_129</v>
      </c>
      <c r="M131" t="str">
        <f t="shared" ref="M131:M194" si="14">LEFT(F131,3)</f>
        <v>Eng</v>
      </c>
      <c r="N131" t="str">
        <f t="shared" ref="N131:N194" si="15">RIGHT(G131,2)</f>
        <v>90</v>
      </c>
      <c r="O131">
        <f t="shared" ref="O131:O194" si="16">LEN(B131)</f>
        <v>9</v>
      </c>
      <c r="P131" t="str">
        <f t="shared" ref="P131:P194" si="17">TRIM(C131)</f>
        <v>Sci-Fi</v>
      </c>
    </row>
    <row r="132" spans="1:16">
      <c r="A132" t="s">
        <v>294</v>
      </c>
      <c r="B132" t="s">
        <v>295</v>
      </c>
      <c r="C132" t="s">
        <v>34</v>
      </c>
      <c r="D132">
        <v>121</v>
      </c>
      <c r="E132">
        <v>4.2</v>
      </c>
      <c r="F132" t="s">
        <v>31</v>
      </c>
      <c r="G132">
        <v>2005</v>
      </c>
      <c r="H132" t="s">
        <v>25</v>
      </c>
      <c r="I132" s="2">
        <v>44734</v>
      </c>
      <c r="J132" t="str">
        <f t="shared" si="12"/>
        <v>Long</v>
      </c>
      <c r="K132" t="str" cm="1">
        <f t="array" ref="K132">_xlfn.IFS(E132&lt;4, "Poor", E132&lt;7, "Average", E132&lt;9, "Good", TRUE, "Excellent")</f>
        <v>Average</v>
      </c>
      <c r="L132" t="str">
        <f t="shared" si="13"/>
        <v>M1130 - Movie_130</v>
      </c>
      <c r="M132" t="str">
        <f t="shared" si="14"/>
        <v>Fre</v>
      </c>
      <c r="N132" t="str">
        <f t="shared" si="15"/>
        <v>05</v>
      </c>
      <c r="O132">
        <f t="shared" si="16"/>
        <v>9</v>
      </c>
      <c r="P132" t="str">
        <f t="shared" si="17"/>
        <v>Drama</v>
      </c>
    </row>
    <row r="133" spans="1:16">
      <c r="A133" t="s">
        <v>296</v>
      </c>
      <c r="B133" t="s">
        <v>297</v>
      </c>
      <c r="C133" t="s">
        <v>18</v>
      </c>
      <c r="D133">
        <v>130</v>
      </c>
      <c r="E133">
        <v>6.7</v>
      </c>
      <c r="F133" t="s">
        <v>28</v>
      </c>
      <c r="G133">
        <v>2019</v>
      </c>
      <c r="H133" t="s">
        <v>20</v>
      </c>
      <c r="I133" s="2">
        <v>44765</v>
      </c>
      <c r="J133" t="str">
        <f t="shared" si="12"/>
        <v>Long</v>
      </c>
      <c r="K133" t="str" cm="1">
        <f t="array" ref="K133">_xlfn.IFS(E133&lt;4, "Poor", E133&lt;7, "Average", E133&lt;9, "Good", TRUE, "Excellent")</f>
        <v>Average</v>
      </c>
      <c r="L133" t="str">
        <f t="shared" si="13"/>
        <v>M1131 - Movie_131</v>
      </c>
      <c r="M133" t="str">
        <f t="shared" si="14"/>
        <v>Spa</v>
      </c>
      <c r="N133" t="str">
        <f t="shared" si="15"/>
        <v>19</v>
      </c>
      <c r="O133">
        <f t="shared" si="16"/>
        <v>9</v>
      </c>
      <c r="P133" t="str">
        <f t="shared" si="17"/>
        <v>Horror</v>
      </c>
    </row>
    <row r="134" spans="1:16">
      <c r="A134" t="s">
        <v>298</v>
      </c>
      <c r="B134" t="s">
        <v>299</v>
      </c>
      <c r="C134" t="s">
        <v>58</v>
      </c>
      <c r="D134">
        <v>172</v>
      </c>
      <c r="E134">
        <v>6.6</v>
      </c>
      <c r="F134" t="s">
        <v>35</v>
      </c>
      <c r="G134">
        <v>1999</v>
      </c>
      <c r="H134" t="s">
        <v>20</v>
      </c>
      <c r="I134" s="2">
        <v>43832</v>
      </c>
      <c r="J134" t="str">
        <f t="shared" si="12"/>
        <v>Long</v>
      </c>
      <c r="K134" t="str" cm="1">
        <f t="array" ref="K134">_xlfn.IFS(E134&lt;4, "Poor", E134&lt;7, "Average", E134&lt;9, "Good", TRUE, "Excellent")</f>
        <v>Average</v>
      </c>
      <c r="L134" t="str">
        <f t="shared" si="13"/>
        <v>M1132 - Movie_132</v>
      </c>
      <c r="M134" t="str">
        <f t="shared" si="14"/>
        <v>Eng</v>
      </c>
      <c r="N134" t="str">
        <f t="shared" si="15"/>
        <v>99</v>
      </c>
      <c r="O134">
        <f t="shared" si="16"/>
        <v>9</v>
      </c>
      <c r="P134" t="str">
        <f t="shared" si="17"/>
        <v>Sci-Fi</v>
      </c>
    </row>
    <row r="135" spans="1:16">
      <c r="A135" t="s">
        <v>300</v>
      </c>
      <c r="B135" t="s">
        <v>301</v>
      </c>
      <c r="C135" t="s">
        <v>67</v>
      </c>
      <c r="D135">
        <v>79</v>
      </c>
      <c r="E135">
        <v>7.1</v>
      </c>
      <c r="F135" t="s">
        <v>31</v>
      </c>
      <c r="G135">
        <v>2017</v>
      </c>
      <c r="H135" t="s">
        <v>20</v>
      </c>
      <c r="I135" s="2">
        <v>44707</v>
      </c>
      <c r="J135" t="str">
        <f t="shared" si="12"/>
        <v>Short</v>
      </c>
      <c r="K135" t="str" cm="1">
        <f t="array" ref="K135">_xlfn.IFS(E135&lt;4, "Poor", E135&lt;7, "Average", E135&lt;9, "Good", TRUE, "Excellent")</f>
        <v>Good</v>
      </c>
      <c r="L135" t="str">
        <f t="shared" si="13"/>
        <v>M1133 - Movie_133</v>
      </c>
      <c r="M135" t="str">
        <f t="shared" si="14"/>
        <v>Fre</v>
      </c>
      <c r="N135" t="str">
        <f t="shared" si="15"/>
        <v>17</v>
      </c>
      <c r="O135">
        <f t="shared" si="16"/>
        <v>9</v>
      </c>
      <c r="P135" t="str">
        <f t="shared" si="17"/>
        <v>Thriller</v>
      </c>
    </row>
    <row r="136" spans="1:16">
      <c r="A136" t="s">
        <v>302</v>
      </c>
      <c r="B136" t="s">
        <v>303</v>
      </c>
      <c r="C136" t="s">
        <v>58</v>
      </c>
      <c r="D136">
        <v>133</v>
      </c>
      <c r="E136">
        <v>7.5</v>
      </c>
      <c r="F136" t="s">
        <v>35</v>
      </c>
      <c r="G136">
        <v>2001</v>
      </c>
      <c r="H136" t="s">
        <v>20</v>
      </c>
      <c r="I136" s="2">
        <v>44245</v>
      </c>
      <c r="J136" t="str">
        <f t="shared" si="12"/>
        <v>Long</v>
      </c>
      <c r="K136" t="str" cm="1">
        <f t="array" ref="K136">_xlfn.IFS(E136&lt;4, "Poor", E136&lt;7, "Average", E136&lt;9, "Good", TRUE, "Excellent")</f>
        <v>Good</v>
      </c>
      <c r="L136" t="str">
        <f t="shared" si="13"/>
        <v>M1134 - Movie_134</v>
      </c>
      <c r="M136" t="str">
        <f t="shared" si="14"/>
        <v>Eng</v>
      </c>
      <c r="N136" t="str">
        <f t="shared" si="15"/>
        <v>01</v>
      </c>
      <c r="O136">
        <f t="shared" si="16"/>
        <v>9</v>
      </c>
      <c r="P136" t="str">
        <f t="shared" si="17"/>
        <v>Sci-Fi</v>
      </c>
    </row>
    <row r="137" spans="1:16">
      <c r="A137" t="s">
        <v>304</v>
      </c>
      <c r="B137" t="s">
        <v>305</v>
      </c>
      <c r="C137" t="s">
        <v>67</v>
      </c>
      <c r="D137">
        <v>120</v>
      </c>
      <c r="E137">
        <v>6.9</v>
      </c>
      <c r="F137" t="s">
        <v>19</v>
      </c>
      <c r="G137">
        <v>2012</v>
      </c>
      <c r="H137" t="s">
        <v>20</v>
      </c>
      <c r="I137" s="2">
        <v>45241</v>
      </c>
      <c r="J137" t="str">
        <f t="shared" si="12"/>
        <v>Short</v>
      </c>
      <c r="K137" t="str" cm="1">
        <f t="array" ref="K137">_xlfn.IFS(E137&lt;4, "Poor", E137&lt;7, "Average", E137&lt;9, "Good", TRUE, "Excellent")</f>
        <v>Average</v>
      </c>
      <c r="L137" t="str">
        <f t="shared" si="13"/>
        <v>M1135 - Movie_135</v>
      </c>
      <c r="M137" t="str">
        <f t="shared" si="14"/>
        <v>Jap</v>
      </c>
      <c r="N137" t="str">
        <f t="shared" si="15"/>
        <v>12</v>
      </c>
      <c r="O137">
        <f t="shared" si="16"/>
        <v>9</v>
      </c>
      <c r="P137" t="str">
        <f t="shared" si="17"/>
        <v>Thriller</v>
      </c>
    </row>
    <row r="138" spans="1:16">
      <c r="A138" t="s">
        <v>306</v>
      </c>
      <c r="B138" t="s">
        <v>307</v>
      </c>
      <c r="C138" t="s">
        <v>34</v>
      </c>
      <c r="D138">
        <v>129</v>
      </c>
      <c r="E138">
        <v>8.5</v>
      </c>
      <c r="F138" t="s">
        <v>19</v>
      </c>
      <c r="G138">
        <v>2012</v>
      </c>
      <c r="H138" t="s">
        <v>20</v>
      </c>
      <c r="I138" s="2">
        <v>44101</v>
      </c>
      <c r="J138" t="str">
        <f t="shared" si="12"/>
        <v>Long</v>
      </c>
      <c r="K138" t="str" cm="1">
        <f t="array" ref="K138">_xlfn.IFS(E138&lt;4, "Poor", E138&lt;7, "Average", E138&lt;9, "Good", TRUE, "Excellent")</f>
        <v>Good</v>
      </c>
      <c r="L138" t="str">
        <f t="shared" si="13"/>
        <v>M1136 - Movie_136</v>
      </c>
      <c r="M138" t="str">
        <f t="shared" si="14"/>
        <v>Jap</v>
      </c>
      <c r="N138" t="str">
        <f t="shared" si="15"/>
        <v>12</v>
      </c>
      <c r="O138">
        <f t="shared" si="16"/>
        <v>9</v>
      </c>
      <c r="P138" t="str">
        <f t="shared" si="17"/>
        <v>Drama</v>
      </c>
    </row>
    <row r="139" spans="1:16">
      <c r="A139" t="s">
        <v>308</v>
      </c>
      <c r="B139" t="s">
        <v>309</v>
      </c>
      <c r="C139" t="s">
        <v>40</v>
      </c>
      <c r="D139">
        <v>145</v>
      </c>
      <c r="E139">
        <v>6.7</v>
      </c>
      <c r="F139" t="s">
        <v>31</v>
      </c>
      <c r="G139">
        <v>2014</v>
      </c>
      <c r="H139" t="s">
        <v>25</v>
      </c>
      <c r="I139" s="2">
        <v>45162</v>
      </c>
      <c r="J139" t="str">
        <f t="shared" si="12"/>
        <v>Long</v>
      </c>
      <c r="K139" t="str" cm="1">
        <f t="array" ref="K139">_xlfn.IFS(E139&lt;4, "Poor", E139&lt;7, "Average", E139&lt;9, "Good", TRUE, "Excellent")</f>
        <v>Average</v>
      </c>
      <c r="L139" t="str">
        <f t="shared" si="13"/>
        <v>M1137 - Movie_137</v>
      </c>
      <c r="M139" t="str">
        <f t="shared" si="14"/>
        <v>Fre</v>
      </c>
      <c r="N139" t="str">
        <f t="shared" si="15"/>
        <v>14</v>
      </c>
      <c r="O139">
        <f t="shared" si="16"/>
        <v>9</v>
      </c>
      <c r="P139" t="str">
        <f t="shared" si="17"/>
        <v>Comedy</v>
      </c>
    </row>
    <row r="140" spans="1:16">
      <c r="A140" t="s">
        <v>310</v>
      </c>
      <c r="B140" t="s">
        <v>311</v>
      </c>
      <c r="C140" t="s">
        <v>40</v>
      </c>
      <c r="D140">
        <v>141</v>
      </c>
      <c r="E140">
        <v>9.1</v>
      </c>
      <c r="F140" t="s">
        <v>28</v>
      </c>
      <c r="G140">
        <v>2011</v>
      </c>
      <c r="H140" t="s">
        <v>20</v>
      </c>
      <c r="I140" s="2">
        <v>44449</v>
      </c>
      <c r="J140" t="str">
        <f t="shared" si="12"/>
        <v>Long</v>
      </c>
      <c r="K140" t="str" cm="1">
        <f t="array" ref="K140">_xlfn.IFS(E140&lt;4, "Poor", E140&lt;7, "Average", E140&lt;9, "Good", TRUE, "Excellent")</f>
        <v>Excellent</v>
      </c>
      <c r="L140" t="str">
        <f t="shared" si="13"/>
        <v>M1138 - Movie_138</v>
      </c>
      <c r="M140" t="str">
        <f t="shared" si="14"/>
        <v>Spa</v>
      </c>
      <c r="N140" t="str">
        <f t="shared" si="15"/>
        <v>11</v>
      </c>
      <c r="O140">
        <f t="shared" si="16"/>
        <v>9</v>
      </c>
      <c r="P140" t="str">
        <f t="shared" si="17"/>
        <v>Comedy</v>
      </c>
    </row>
    <row r="141" spans="1:16">
      <c r="A141" t="s">
        <v>312</v>
      </c>
      <c r="B141" t="s">
        <v>313</v>
      </c>
      <c r="C141" t="s">
        <v>58</v>
      </c>
      <c r="D141">
        <v>198</v>
      </c>
      <c r="E141">
        <v>6.8</v>
      </c>
      <c r="F141" t="s">
        <v>28</v>
      </c>
      <c r="G141">
        <v>2025</v>
      </c>
      <c r="H141" t="s">
        <v>20</v>
      </c>
      <c r="I141" s="2">
        <v>44156</v>
      </c>
      <c r="J141" t="str">
        <f t="shared" si="12"/>
        <v>Long</v>
      </c>
      <c r="K141" t="str" cm="1">
        <f t="array" ref="K141">_xlfn.IFS(E141&lt;4, "Poor", E141&lt;7, "Average", E141&lt;9, "Good", TRUE, "Excellent")</f>
        <v>Average</v>
      </c>
      <c r="L141" t="str">
        <f t="shared" si="13"/>
        <v>M1139 - Movie_139</v>
      </c>
      <c r="M141" t="str">
        <f t="shared" si="14"/>
        <v>Spa</v>
      </c>
      <c r="N141" t="str">
        <f t="shared" si="15"/>
        <v>25</v>
      </c>
      <c r="O141">
        <f t="shared" si="16"/>
        <v>9</v>
      </c>
      <c r="P141" t="str">
        <f t="shared" si="17"/>
        <v>Sci-Fi</v>
      </c>
    </row>
    <row r="142" spans="1:16">
      <c r="A142" t="s">
        <v>314</v>
      </c>
      <c r="B142" t="s">
        <v>315</v>
      </c>
      <c r="C142" t="s">
        <v>67</v>
      </c>
      <c r="D142">
        <v>80</v>
      </c>
      <c r="E142">
        <v>3.8</v>
      </c>
      <c r="F142" t="s">
        <v>35</v>
      </c>
      <c r="G142">
        <v>2016</v>
      </c>
      <c r="H142" t="s">
        <v>20</v>
      </c>
      <c r="I142" s="2">
        <v>44392</v>
      </c>
      <c r="J142" t="str">
        <f t="shared" si="12"/>
        <v>Short</v>
      </c>
      <c r="K142" t="str" cm="1">
        <f t="array" ref="K142">_xlfn.IFS(E142&lt;4, "Poor", E142&lt;7, "Average", E142&lt;9, "Good", TRUE, "Excellent")</f>
        <v>Poor</v>
      </c>
      <c r="L142" t="str">
        <f t="shared" si="13"/>
        <v>M1140 - Movie_140</v>
      </c>
      <c r="M142" t="str">
        <f t="shared" si="14"/>
        <v>Eng</v>
      </c>
      <c r="N142" t="str">
        <f t="shared" si="15"/>
        <v>16</v>
      </c>
      <c r="O142">
        <f t="shared" si="16"/>
        <v>9</v>
      </c>
      <c r="P142" t="str">
        <f t="shared" si="17"/>
        <v>Thriller</v>
      </c>
    </row>
    <row r="143" spans="1:16">
      <c r="A143" t="s">
        <v>316</v>
      </c>
      <c r="B143" t="s">
        <v>317</v>
      </c>
      <c r="C143" t="s">
        <v>23</v>
      </c>
      <c r="D143">
        <v>95</v>
      </c>
      <c r="E143">
        <v>5</v>
      </c>
      <c r="F143" t="s">
        <v>31</v>
      </c>
      <c r="G143">
        <v>1999</v>
      </c>
      <c r="H143" t="s">
        <v>20</v>
      </c>
      <c r="I143" s="2">
        <v>44022</v>
      </c>
      <c r="J143" t="str">
        <f t="shared" si="12"/>
        <v>Short</v>
      </c>
      <c r="K143" t="str" cm="1">
        <f t="array" ref="K143">_xlfn.IFS(E143&lt;4, "Poor", E143&lt;7, "Average", E143&lt;9, "Good", TRUE, "Excellent")</f>
        <v>Average</v>
      </c>
      <c r="L143" t="str">
        <f t="shared" si="13"/>
        <v>M1141 - Movie_141</v>
      </c>
      <c r="M143" t="str">
        <f t="shared" si="14"/>
        <v>Fre</v>
      </c>
      <c r="N143" t="str">
        <f t="shared" si="15"/>
        <v>99</v>
      </c>
      <c r="O143">
        <f t="shared" si="16"/>
        <v>9</v>
      </c>
      <c r="P143" t="str">
        <f t="shared" si="17"/>
        <v>Action</v>
      </c>
    </row>
    <row r="144" spans="1:16">
      <c r="A144" t="s">
        <v>318</v>
      </c>
      <c r="B144" t="s">
        <v>319</v>
      </c>
      <c r="C144" t="s">
        <v>23</v>
      </c>
      <c r="D144">
        <v>98</v>
      </c>
      <c r="E144">
        <v>6.2</v>
      </c>
      <c r="F144" t="s">
        <v>61</v>
      </c>
      <c r="G144">
        <v>2010</v>
      </c>
      <c r="H144" t="s">
        <v>20</v>
      </c>
      <c r="I144" s="2">
        <v>45171</v>
      </c>
      <c r="J144" t="str">
        <f t="shared" si="12"/>
        <v>Short</v>
      </c>
      <c r="K144" t="str" cm="1">
        <f t="array" ref="K144">_xlfn.IFS(E144&lt;4, "Poor", E144&lt;7, "Average", E144&lt;9, "Good", TRUE, "Excellent")</f>
        <v>Average</v>
      </c>
      <c r="L144" t="str">
        <f t="shared" si="13"/>
        <v>M1142 - Movie_142</v>
      </c>
      <c r="M144" t="str">
        <f t="shared" si="14"/>
        <v>Ger</v>
      </c>
      <c r="N144" t="str">
        <f t="shared" si="15"/>
        <v>10</v>
      </c>
      <c r="O144">
        <f t="shared" si="16"/>
        <v>9</v>
      </c>
      <c r="P144" t="str">
        <f t="shared" si="17"/>
        <v>Action</v>
      </c>
    </row>
    <row r="145" spans="1:16">
      <c r="A145" t="s">
        <v>320</v>
      </c>
      <c r="B145" t="s">
        <v>321</v>
      </c>
      <c r="C145" t="s">
        <v>23</v>
      </c>
      <c r="D145">
        <v>119</v>
      </c>
      <c r="E145">
        <v>7.6</v>
      </c>
      <c r="F145" t="s">
        <v>19</v>
      </c>
      <c r="G145">
        <v>1981</v>
      </c>
      <c r="H145" t="s">
        <v>20</v>
      </c>
      <c r="I145" s="2">
        <v>44569</v>
      </c>
      <c r="J145" t="str">
        <f t="shared" si="12"/>
        <v>Short</v>
      </c>
      <c r="K145" t="str" cm="1">
        <f t="array" ref="K145">_xlfn.IFS(E145&lt;4, "Poor", E145&lt;7, "Average", E145&lt;9, "Good", TRUE, "Excellent")</f>
        <v>Good</v>
      </c>
      <c r="L145" t="str">
        <f t="shared" si="13"/>
        <v>M1143 - Movie_143</v>
      </c>
      <c r="M145" t="str">
        <f t="shared" si="14"/>
        <v>Jap</v>
      </c>
      <c r="N145" t="str">
        <f t="shared" si="15"/>
        <v>81</v>
      </c>
      <c r="O145">
        <f t="shared" si="16"/>
        <v>9</v>
      </c>
      <c r="P145" t="str">
        <f t="shared" si="17"/>
        <v>Action</v>
      </c>
    </row>
    <row r="146" spans="1:16">
      <c r="A146" t="s">
        <v>322</v>
      </c>
      <c r="B146" t="s">
        <v>323</v>
      </c>
      <c r="C146" t="s">
        <v>40</v>
      </c>
      <c r="D146">
        <v>158</v>
      </c>
      <c r="E146">
        <v>1.8</v>
      </c>
      <c r="F146" t="s">
        <v>28</v>
      </c>
      <c r="G146">
        <v>2003</v>
      </c>
      <c r="H146" t="s">
        <v>25</v>
      </c>
      <c r="I146" s="2">
        <v>44343</v>
      </c>
      <c r="J146" t="str">
        <f t="shared" si="12"/>
        <v>Long</v>
      </c>
      <c r="K146" t="str" cm="1">
        <f t="array" ref="K146">_xlfn.IFS(E146&lt;4, "Poor", E146&lt;7, "Average", E146&lt;9, "Good", TRUE, "Excellent")</f>
        <v>Poor</v>
      </c>
      <c r="L146" t="str">
        <f t="shared" si="13"/>
        <v>M1144 - Movie_144</v>
      </c>
      <c r="M146" t="str">
        <f t="shared" si="14"/>
        <v>Spa</v>
      </c>
      <c r="N146" t="str">
        <f t="shared" si="15"/>
        <v>03</v>
      </c>
      <c r="O146">
        <f t="shared" si="16"/>
        <v>9</v>
      </c>
      <c r="P146" t="str">
        <f t="shared" si="17"/>
        <v>Comedy</v>
      </c>
    </row>
    <row r="147" spans="1:16">
      <c r="A147" t="s">
        <v>324</v>
      </c>
      <c r="B147" t="s">
        <v>325</v>
      </c>
      <c r="C147" t="s">
        <v>18</v>
      </c>
      <c r="D147">
        <v>99</v>
      </c>
      <c r="E147">
        <v>3.7</v>
      </c>
      <c r="F147" t="s">
        <v>19</v>
      </c>
      <c r="G147">
        <v>2001</v>
      </c>
      <c r="H147" t="s">
        <v>25</v>
      </c>
      <c r="I147" s="2">
        <v>43999</v>
      </c>
      <c r="J147" t="str">
        <f t="shared" si="12"/>
        <v>Short</v>
      </c>
      <c r="K147" t="str" cm="1">
        <f t="array" ref="K147">_xlfn.IFS(E147&lt;4, "Poor", E147&lt;7, "Average", E147&lt;9, "Good", TRUE, "Excellent")</f>
        <v>Poor</v>
      </c>
      <c r="L147" t="str">
        <f t="shared" si="13"/>
        <v>M1145 - Movie_145</v>
      </c>
      <c r="M147" t="str">
        <f t="shared" si="14"/>
        <v>Jap</v>
      </c>
      <c r="N147" t="str">
        <f t="shared" si="15"/>
        <v>01</v>
      </c>
      <c r="O147">
        <f t="shared" si="16"/>
        <v>9</v>
      </c>
      <c r="P147" t="str">
        <f t="shared" si="17"/>
        <v>Horror</v>
      </c>
    </row>
    <row r="148" spans="1:16">
      <c r="A148" t="s">
        <v>326</v>
      </c>
      <c r="B148" t="s">
        <v>327</v>
      </c>
      <c r="C148" t="s">
        <v>40</v>
      </c>
      <c r="D148">
        <v>114</v>
      </c>
      <c r="E148">
        <v>7.7</v>
      </c>
      <c r="F148" t="s">
        <v>61</v>
      </c>
      <c r="G148">
        <v>2023</v>
      </c>
      <c r="H148" t="s">
        <v>20</v>
      </c>
      <c r="I148" s="2">
        <v>44592</v>
      </c>
      <c r="J148" t="str">
        <f t="shared" si="12"/>
        <v>Short</v>
      </c>
      <c r="K148" t="str" cm="1">
        <f t="array" ref="K148">_xlfn.IFS(E148&lt;4, "Poor", E148&lt;7, "Average", E148&lt;9, "Good", TRUE, "Excellent")</f>
        <v>Good</v>
      </c>
      <c r="L148" t="str">
        <f t="shared" si="13"/>
        <v>M1146 - Movie_146</v>
      </c>
      <c r="M148" t="str">
        <f t="shared" si="14"/>
        <v>Ger</v>
      </c>
      <c r="N148" t="str">
        <f t="shared" si="15"/>
        <v>23</v>
      </c>
      <c r="O148">
        <f t="shared" si="16"/>
        <v>9</v>
      </c>
      <c r="P148" t="str">
        <f t="shared" si="17"/>
        <v>Comedy</v>
      </c>
    </row>
    <row r="149" spans="1:16">
      <c r="A149" t="s">
        <v>328</v>
      </c>
      <c r="B149" t="s">
        <v>329</v>
      </c>
      <c r="C149" t="s">
        <v>18</v>
      </c>
      <c r="D149">
        <v>76</v>
      </c>
      <c r="E149">
        <v>2.6</v>
      </c>
      <c r="F149" t="s">
        <v>61</v>
      </c>
      <c r="G149">
        <v>1987</v>
      </c>
      <c r="H149" t="s">
        <v>25</v>
      </c>
      <c r="I149" s="2">
        <v>45191</v>
      </c>
      <c r="J149" t="str">
        <f t="shared" si="12"/>
        <v>Short</v>
      </c>
      <c r="K149" t="str" cm="1">
        <f t="array" ref="K149">_xlfn.IFS(E149&lt;4, "Poor", E149&lt;7, "Average", E149&lt;9, "Good", TRUE, "Excellent")</f>
        <v>Poor</v>
      </c>
      <c r="L149" t="str">
        <f t="shared" si="13"/>
        <v>M1147 - Movie_147</v>
      </c>
      <c r="M149" t="str">
        <f t="shared" si="14"/>
        <v>Ger</v>
      </c>
      <c r="N149" t="str">
        <f t="shared" si="15"/>
        <v>87</v>
      </c>
      <c r="O149">
        <f t="shared" si="16"/>
        <v>9</v>
      </c>
      <c r="P149" t="str">
        <f t="shared" si="17"/>
        <v>Horror</v>
      </c>
    </row>
    <row r="150" spans="1:16">
      <c r="A150" t="s">
        <v>330</v>
      </c>
      <c r="B150" t="s">
        <v>331</v>
      </c>
      <c r="C150" t="s">
        <v>67</v>
      </c>
      <c r="D150">
        <v>166</v>
      </c>
      <c r="E150">
        <v>2.2000000000000002</v>
      </c>
      <c r="F150" t="s">
        <v>24</v>
      </c>
      <c r="G150">
        <v>2006</v>
      </c>
      <c r="H150" t="s">
        <v>25</v>
      </c>
      <c r="I150" s="2">
        <v>45159</v>
      </c>
      <c r="J150" t="str">
        <f t="shared" si="12"/>
        <v>Long</v>
      </c>
      <c r="K150" t="str" cm="1">
        <f t="array" ref="K150">_xlfn.IFS(E150&lt;4, "Poor", E150&lt;7, "Average", E150&lt;9, "Good", TRUE, "Excellent")</f>
        <v>Poor</v>
      </c>
      <c r="L150" t="str">
        <f t="shared" si="13"/>
        <v>M1148 - Movie_148</v>
      </c>
      <c r="M150" t="str">
        <f t="shared" si="14"/>
        <v>Hin</v>
      </c>
      <c r="N150" t="str">
        <f t="shared" si="15"/>
        <v>06</v>
      </c>
      <c r="O150">
        <f t="shared" si="16"/>
        <v>9</v>
      </c>
      <c r="P150" t="str">
        <f t="shared" si="17"/>
        <v>Thriller</v>
      </c>
    </row>
    <row r="151" spans="1:16">
      <c r="A151" t="s">
        <v>332</v>
      </c>
      <c r="B151" t="s">
        <v>333</v>
      </c>
      <c r="C151" t="s">
        <v>58</v>
      </c>
      <c r="D151">
        <v>164</v>
      </c>
      <c r="E151">
        <v>5.9</v>
      </c>
      <c r="F151" t="s">
        <v>35</v>
      </c>
      <c r="G151">
        <v>2017</v>
      </c>
      <c r="H151" t="s">
        <v>20</v>
      </c>
      <c r="I151" s="2">
        <v>44169</v>
      </c>
      <c r="J151" t="str">
        <f t="shared" si="12"/>
        <v>Long</v>
      </c>
      <c r="K151" t="str" cm="1">
        <f t="array" ref="K151">_xlfn.IFS(E151&lt;4, "Poor", E151&lt;7, "Average", E151&lt;9, "Good", TRUE, "Excellent")</f>
        <v>Average</v>
      </c>
      <c r="L151" t="str">
        <f t="shared" si="13"/>
        <v>M1149 - Movie_149</v>
      </c>
      <c r="M151" t="str">
        <f t="shared" si="14"/>
        <v>Eng</v>
      </c>
      <c r="N151" t="str">
        <f t="shared" si="15"/>
        <v>17</v>
      </c>
      <c r="O151">
        <f t="shared" si="16"/>
        <v>9</v>
      </c>
      <c r="P151" t="str">
        <f t="shared" si="17"/>
        <v>Sci-Fi</v>
      </c>
    </row>
    <row r="152" spans="1:16">
      <c r="A152" t="s">
        <v>334</v>
      </c>
      <c r="B152" t="s">
        <v>335</v>
      </c>
      <c r="C152" t="s">
        <v>23</v>
      </c>
      <c r="D152">
        <v>144</v>
      </c>
      <c r="E152">
        <v>9.6999999999999993</v>
      </c>
      <c r="F152" t="s">
        <v>35</v>
      </c>
      <c r="G152">
        <v>1999</v>
      </c>
      <c r="H152" t="s">
        <v>20</v>
      </c>
      <c r="I152" s="2">
        <v>43937</v>
      </c>
      <c r="J152" t="str">
        <f t="shared" si="12"/>
        <v>Long</v>
      </c>
      <c r="K152" t="str" cm="1">
        <f t="array" ref="K152">_xlfn.IFS(E152&lt;4, "Poor", E152&lt;7, "Average", E152&lt;9, "Good", TRUE, "Excellent")</f>
        <v>Excellent</v>
      </c>
      <c r="L152" t="str">
        <f t="shared" si="13"/>
        <v>M1150 - Movie_150</v>
      </c>
      <c r="M152" t="str">
        <f t="shared" si="14"/>
        <v>Eng</v>
      </c>
      <c r="N152" t="str">
        <f t="shared" si="15"/>
        <v>99</v>
      </c>
      <c r="O152">
        <f t="shared" si="16"/>
        <v>9</v>
      </c>
      <c r="P152" t="str">
        <f t="shared" si="17"/>
        <v>Action</v>
      </c>
    </row>
    <row r="153" spans="1:16">
      <c r="A153" t="s">
        <v>336</v>
      </c>
      <c r="B153" t="s">
        <v>337</v>
      </c>
      <c r="C153" t="s">
        <v>67</v>
      </c>
      <c r="D153">
        <v>198</v>
      </c>
      <c r="E153">
        <v>5.8</v>
      </c>
      <c r="F153" t="s">
        <v>35</v>
      </c>
      <c r="G153">
        <v>2024</v>
      </c>
      <c r="H153" t="s">
        <v>25</v>
      </c>
      <c r="I153" s="2">
        <v>44642</v>
      </c>
      <c r="J153" t="str">
        <f t="shared" si="12"/>
        <v>Long</v>
      </c>
      <c r="K153" t="str" cm="1">
        <f t="array" ref="K153">_xlfn.IFS(E153&lt;4, "Poor", E153&lt;7, "Average", E153&lt;9, "Good", TRUE, "Excellent")</f>
        <v>Average</v>
      </c>
      <c r="L153" t="str">
        <f t="shared" si="13"/>
        <v>M1151 - Movie_151</v>
      </c>
      <c r="M153" t="str">
        <f t="shared" si="14"/>
        <v>Eng</v>
      </c>
      <c r="N153" t="str">
        <f t="shared" si="15"/>
        <v>24</v>
      </c>
      <c r="O153">
        <f t="shared" si="16"/>
        <v>9</v>
      </c>
      <c r="P153" t="str">
        <f t="shared" si="17"/>
        <v>Thriller</v>
      </c>
    </row>
    <row r="154" spans="1:16">
      <c r="A154" t="s">
        <v>338</v>
      </c>
      <c r="B154" t="s">
        <v>339</v>
      </c>
      <c r="C154" t="s">
        <v>67</v>
      </c>
      <c r="D154">
        <v>179</v>
      </c>
      <c r="E154">
        <v>9.1999999999999993</v>
      </c>
      <c r="F154" t="s">
        <v>31</v>
      </c>
      <c r="G154">
        <v>2020</v>
      </c>
      <c r="H154" t="s">
        <v>20</v>
      </c>
      <c r="I154" s="2">
        <v>45112</v>
      </c>
      <c r="J154" t="str">
        <f t="shared" si="12"/>
        <v>Long</v>
      </c>
      <c r="K154" t="str" cm="1">
        <f t="array" ref="K154">_xlfn.IFS(E154&lt;4, "Poor", E154&lt;7, "Average", E154&lt;9, "Good", TRUE, "Excellent")</f>
        <v>Excellent</v>
      </c>
      <c r="L154" t="str">
        <f t="shared" si="13"/>
        <v>M1152 - Movie_152</v>
      </c>
      <c r="M154" t="str">
        <f t="shared" si="14"/>
        <v>Fre</v>
      </c>
      <c r="N154" t="str">
        <f t="shared" si="15"/>
        <v>20</v>
      </c>
      <c r="O154">
        <f t="shared" si="16"/>
        <v>9</v>
      </c>
      <c r="P154" t="str">
        <f t="shared" si="17"/>
        <v>Thriller</v>
      </c>
    </row>
    <row r="155" spans="1:16">
      <c r="A155" t="s">
        <v>340</v>
      </c>
      <c r="B155" t="s">
        <v>341</v>
      </c>
      <c r="C155" t="s">
        <v>58</v>
      </c>
      <c r="D155">
        <v>166</v>
      </c>
      <c r="E155">
        <v>8.5</v>
      </c>
      <c r="F155" t="s">
        <v>28</v>
      </c>
      <c r="G155">
        <v>1981</v>
      </c>
      <c r="H155" t="s">
        <v>20</v>
      </c>
      <c r="I155" s="2">
        <v>44456</v>
      </c>
      <c r="J155" t="str">
        <f t="shared" si="12"/>
        <v>Long</v>
      </c>
      <c r="K155" t="str" cm="1">
        <f t="array" ref="K155">_xlfn.IFS(E155&lt;4, "Poor", E155&lt;7, "Average", E155&lt;9, "Good", TRUE, "Excellent")</f>
        <v>Good</v>
      </c>
      <c r="L155" t="str">
        <f t="shared" si="13"/>
        <v>M1153 - Movie_153</v>
      </c>
      <c r="M155" t="str">
        <f t="shared" si="14"/>
        <v>Spa</v>
      </c>
      <c r="N155" t="str">
        <f t="shared" si="15"/>
        <v>81</v>
      </c>
      <c r="O155">
        <f t="shared" si="16"/>
        <v>9</v>
      </c>
      <c r="P155" t="str">
        <f t="shared" si="17"/>
        <v>Sci-Fi</v>
      </c>
    </row>
    <row r="156" spans="1:16">
      <c r="A156" t="s">
        <v>342</v>
      </c>
      <c r="B156" t="s">
        <v>343</v>
      </c>
      <c r="C156" t="s">
        <v>67</v>
      </c>
      <c r="D156">
        <v>75</v>
      </c>
      <c r="E156">
        <v>3.3</v>
      </c>
      <c r="F156" t="s">
        <v>28</v>
      </c>
      <c r="G156">
        <v>2018</v>
      </c>
      <c r="H156" t="s">
        <v>25</v>
      </c>
      <c r="I156" s="2">
        <v>45317</v>
      </c>
      <c r="J156" t="str">
        <f t="shared" si="12"/>
        <v>Short</v>
      </c>
      <c r="K156" t="str" cm="1">
        <f t="array" ref="K156">_xlfn.IFS(E156&lt;4, "Poor", E156&lt;7, "Average", E156&lt;9, "Good", TRUE, "Excellent")</f>
        <v>Poor</v>
      </c>
      <c r="L156" t="str">
        <f t="shared" si="13"/>
        <v>M1154 - Movie_154</v>
      </c>
      <c r="M156" t="str">
        <f t="shared" si="14"/>
        <v>Spa</v>
      </c>
      <c r="N156" t="str">
        <f t="shared" si="15"/>
        <v>18</v>
      </c>
      <c r="O156">
        <f t="shared" si="16"/>
        <v>9</v>
      </c>
      <c r="P156" t="str">
        <f t="shared" si="17"/>
        <v>Thriller</v>
      </c>
    </row>
    <row r="157" spans="1:16">
      <c r="A157" t="s">
        <v>344</v>
      </c>
      <c r="B157" t="s">
        <v>345</v>
      </c>
      <c r="C157" t="s">
        <v>58</v>
      </c>
      <c r="D157">
        <v>112</v>
      </c>
      <c r="E157">
        <v>8.4</v>
      </c>
      <c r="F157" t="s">
        <v>24</v>
      </c>
      <c r="G157">
        <v>2010</v>
      </c>
      <c r="H157" t="s">
        <v>25</v>
      </c>
      <c r="I157" s="2">
        <v>45263</v>
      </c>
      <c r="J157" t="str">
        <f t="shared" si="12"/>
        <v>Short</v>
      </c>
      <c r="K157" t="str" cm="1">
        <f t="array" ref="K157">_xlfn.IFS(E157&lt;4, "Poor", E157&lt;7, "Average", E157&lt;9, "Good", TRUE, "Excellent")</f>
        <v>Good</v>
      </c>
      <c r="L157" t="str">
        <f t="shared" si="13"/>
        <v>M1155 - Movie_155</v>
      </c>
      <c r="M157" t="str">
        <f t="shared" si="14"/>
        <v>Hin</v>
      </c>
      <c r="N157" t="str">
        <f t="shared" si="15"/>
        <v>10</v>
      </c>
      <c r="O157">
        <f t="shared" si="16"/>
        <v>9</v>
      </c>
      <c r="P157" t="str">
        <f t="shared" si="17"/>
        <v>Sci-Fi</v>
      </c>
    </row>
    <row r="158" spans="1:16">
      <c r="A158" t="s">
        <v>346</v>
      </c>
      <c r="B158" t="s">
        <v>347</v>
      </c>
      <c r="C158" t="s">
        <v>34</v>
      </c>
      <c r="D158">
        <v>167</v>
      </c>
      <c r="E158">
        <v>5.3</v>
      </c>
      <c r="F158" t="s">
        <v>19</v>
      </c>
      <c r="G158">
        <v>1996</v>
      </c>
      <c r="H158" t="s">
        <v>20</v>
      </c>
      <c r="I158" s="2">
        <v>45377</v>
      </c>
      <c r="J158" t="str">
        <f t="shared" si="12"/>
        <v>Long</v>
      </c>
      <c r="K158" t="str" cm="1">
        <f t="array" ref="K158">_xlfn.IFS(E158&lt;4, "Poor", E158&lt;7, "Average", E158&lt;9, "Good", TRUE, "Excellent")</f>
        <v>Average</v>
      </c>
      <c r="L158" t="str">
        <f t="shared" si="13"/>
        <v>M1156 - Movie_156</v>
      </c>
      <c r="M158" t="str">
        <f t="shared" si="14"/>
        <v>Jap</v>
      </c>
      <c r="N158" t="str">
        <f t="shared" si="15"/>
        <v>96</v>
      </c>
      <c r="O158">
        <f t="shared" si="16"/>
        <v>9</v>
      </c>
      <c r="P158" t="str">
        <f t="shared" si="17"/>
        <v>Drama</v>
      </c>
    </row>
    <row r="159" spans="1:16">
      <c r="A159" t="s">
        <v>348</v>
      </c>
      <c r="B159" t="s">
        <v>349</v>
      </c>
      <c r="C159" t="s">
        <v>58</v>
      </c>
      <c r="D159">
        <v>159</v>
      </c>
      <c r="E159">
        <v>8.3000000000000007</v>
      </c>
      <c r="F159" t="s">
        <v>24</v>
      </c>
      <c r="G159">
        <v>2021</v>
      </c>
      <c r="H159" t="s">
        <v>25</v>
      </c>
      <c r="I159" s="2">
        <v>44310</v>
      </c>
      <c r="J159" t="str">
        <f t="shared" si="12"/>
        <v>Long</v>
      </c>
      <c r="K159" t="str" cm="1">
        <f t="array" ref="K159">_xlfn.IFS(E159&lt;4, "Poor", E159&lt;7, "Average", E159&lt;9, "Good", TRUE, "Excellent")</f>
        <v>Good</v>
      </c>
      <c r="L159" t="str">
        <f t="shared" si="13"/>
        <v>M1157 - Movie_157</v>
      </c>
      <c r="M159" t="str">
        <f t="shared" si="14"/>
        <v>Hin</v>
      </c>
      <c r="N159" t="str">
        <f t="shared" si="15"/>
        <v>21</v>
      </c>
      <c r="O159">
        <f t="shared" si="16"/>
        <v>9</v>
      </c>
      <c r="P159" t="str">
        <f t="shared" si="17"/>
        <v>Sci-Fi</v>
      </c>
    </row>
    <row r="160" spans="1:16">
      <c r="A160" t="s">
        <v>350</v>
      </c>
      <c r="B160" t="s">
        <v>351</v>
      </c>
      <c r="C160" t="s">
        <v>23</v>
      </c>
      <c r="D160">
        <v>65</v>
      </c>
      <c r="E160">
        <v>7.7</v>
      </c>
      <c r="F160" t="s">
        <v>24</v>
      </c>
      <c r="G160">
        <v>2017</v>
      </c>
      <c r="H160" t="s">
        <v>20</v>
      </c>
      <c r="I160" s="2">
        <v>44710</v>
      </c>
      <c r="J160" t="str">
        <f t="shared" si="12"/>
        <v>Short</v>
      </c>
      <c r="K160" t="str" cm="1">
        <f t="array" ref="K160">_xlfn.IFS(E160&lt;4, "Poor", E160&lt;7, "Average", E160&lt;9, "Good", TRUE, "Excellent")</f>
        <v>Good</v>
      </c>
      <c r="L160" t="str">
        <f t="shared" si="13"/>
        <v>M1158 - Movie_158</v>
      </c>
      <c r="M160" t="str">
        <f t="shared" si="14"/>
        <v>Hin</v>
      </c>
      <c r="N160" t="str">
        <f t="shared" si="15"/>
        <v>17</v>
      </c>
      <c r="O160">
        <f t="shared" si="16"/>
        <v>9</v>
      </c>
      <c r="P160" t="str">
        <f t="shared" si="17"/>
        <v>Action</v>
      </c>
    </row>
    <row r="161" spans="1:16">
      <c r="A161" t="s">
        <v>352</v>
      </c>
      <c r="B161" t="s">
        <v>353</v>
      </c>
      <c r="C161" t="s">
        <v>18</v>
      </c>
      <c r="D161">
        <v>157</v>
      </c>
      <c r="E161">
        <v>4</v>
      </c>
      <c r="F161" t="s">
        <v>61</v>
      </c>
      <c r="G161">
        <v>2016</v>
      </c>
      <c r="H161" t="s">
        <v>20</v>
      </c>
      <c r="I161" s="2">
        <v>45173</v>
      </c>
      <c r="J161" t="str">
        <f t="shared" si="12"/>
        <v>Long</v>
      </c>
      <c r="K161" t="str" cm="1">
        <f t="array" ref="K161">_xlfn.IFS(E161&lt;4, "Poor", E161&lt;7, "Average", E161&lt;9, "Good", TRUE, "Excellent")</f>
        <v>Average</v>
      </c>
      <c r="L161" t="str">
        <f t="shared" si="13"/>
        <v>M1159 - Movie_159</v>
      </c>
      <c r="M161" t="str">
        <f t="shared" si="14"/>
        <v>Ger</v>
      </c>
      <c r="N161" t="str">
        <f t="shared" si="15"/>
        <v>16</v>
      </c>
      <c r="O161">
        <f t="shared" si="16"/>
        <v>9</v>
      </c>
      <c r="P161" t="str">
        <f t="shared" si="17"/>
        <v>Horror</v>
      </c>
    </row>
    <row r="162" spans="1:16">
      <c r="A162" t="s">
        <v>354</v>
      </c>
      <c r="B162" t="s">
        <v>355</v>
      </c>
      <c r="C162" t="s">
        <v>18</v>
      </c>
      <c r="D162">
        <v>182</v>
      </c>
      <c r="E162">
        <v>2</v>
      </c>
      <c r="F162" t="s">
        <v>35</v>
      </c>
      <c r="G162">
        <v>1994</v>
      </c>
      <c r="H162" t="s">
        <v>20</v>
      </c>
      <c r="I162" s="2">
        <v>44017</v>
      </c>
      <c r="J162" t="str">
        <f t="shared" si="12"/>
        <v>Long</v>
      </c>
      <c r="K162" t="str" cm="1">
        <f t="array" ref="K162">_xlfn.IFS(E162&lt;4, "Poor", E162&lt;7, "Average", E162&lt;9, "Good", TRUE, "Excellent")</f>
        <v>Poor</v>
      </c>
      <c r="L162" t="str">
        <f t="shared" si="13"/>
        <v>M1160 - Movie_160</v>
      </c>
      <c r="M162" t="str">
        <f t="shared" si="14"/>
        <v>Eng</v>
      </c>
      <c r="N162" t="str">
        <f t="shared" si="15"/>
        <v>94</v>
      </c>
      <c r="O162">
        <f t="shared" si="16"/>
        <v>9</v>
      </c>
      <c r="P162" t="str">
        <f t="shared" si="17"/>
        <v>Horror</v>
      </c>
    </row>
    <row r="163" spans="1:16">
      <c r="A163" t="s">
        <v>356</v>
      </c>
      <c r="B163" t="s">
        <v>357</v>
      </c>
      <c r="C163" t="s">
        <v>23</v>
      </c>
      <c r="D163">
        <v>61</v>
      </c>
      <c r="E163">
        <v>9.6999999999999993</v>
      </c>
      <c r="F163" t="s">
        <v>31</v>
      </c>
      <c r="G163">
        <v>1983</v>
      </c>
      <c r="H163" t="s">
        <v>20</v>
      </c>
      <c r="I163" s="2">
        <v>45272</v>
      </c>
      <c r="J163" t="str">
        <f t="shared" si="12"/>
        <v>Short</v>
      </c>
      <c r="K163" t="str" cm="1">
        <f t="array" ref="K163">_xlfn.IFS(E163&lt;4, "Poor", E163&lt;7, "Average", E163&lt;9, "Good", TRUE, "Excellent")</f>
        <v>Excellent</v>
      </c>
      <c r="L163" t="str">
        <f t="shared" si="13"/>
        <v>M1161 - Movie_161</v>
      </c>
      <c r="M163" t="str">
        <f t="shared" si="14"/>
        <v>Fre</v>
      </c>
      <c r="N163" t="str">
        <f t="shared" si="15"/>
        <v>83</v>
      </c>
      <c r="O163">
        <f t="shared" si="16"/>
        <v>9</v>
      </c>
      <c r="P163" t="str">
        <f t="shared" si="17"/>
        <v>Action</v>
      </c>
    </row>
    <row r="164" spans="1:16">
      <c r="A164" t="s">
        <v>358</v>
      </c>
      <c r="B164" t="s">
        <v>359</v>
      </c>
      <c r="C164" t="s">
        <v>18</v>
      </c>
      <c r="D164">
        <v>150</v>
      </c>
      <c r="E164">
        <v>2.2999999999999998</v>
      </c>
      <c r="F164" t="s">
        <v>28</v>
      </c>
      <c r="G164">
        <v>2017</v>
      </c>
      <c r="H164" t="s">
        <v>20</v>
      </c>
      <c r="I164" s="2">
        <v>44025</v>
      </c>
      <c r="J164" t="str">
        <f t="shared" si="12"/>
        <v>Long</v>
      </c>
      <c r="K164" t="str" cm="1">
        <f t="array" ref="K164">_xlfn.IFS(E164&lt;4, "Poor", E164&lt;7, "Average", E164&lt;9, "Good", TRUE, "Excellent")</f>
        <v>Poor</v>
      </c>
      <c r="L164" t="str">
        <f t="shared" si="13"/>
        <v>M1162 - Movie_162</v>
      </c>
      <c r="M164" t="str">
        <f t="shared" si="14"/>
        <v>Spa</v>
      </c>
      <c r="N164" t="str">
        <f t="shared" si="15"/>
        <v>17</v>
      </c>
      <c r="O164">
        <f t="shared" si="16"/>
        <v>9</v>
      </c>
      <c r="P164" t="str">
        <f t="shared" si="17"/>
        <v>Horror</v>
      </c>
    </row>
    <row r="165" spans="1:16">
      <c r="A165" t="s">
        <v>360</v>
      </c>
      <c r="B165" t="s">
        <v>361</v>
      </c>
      <c r="C165" t="s">
        <v>58</v>
      </c>
      <c r="D165">
        <v>136</v>
      </c>
      <c r="E165">
        <v>9.6999999999999993</v>
      </c>
      <c r="F165" t="s">
        <v>31</v>
      </c>
      <c r="G165">
        <v>2010</v>
      </c>
      <c r="H165" t="s">
        <v>20</v>
      </c>
      <c r="I165" s="2">
        <v>43833</v>
      </c>
      <c r="J165" t="str">
        <f t="shared" si="12"/>
        <v>Long</v>
      </c>
      <c r="K165" t="str" cm="1">
        <f t="array" ref="K165">_xlfn.IFS(E165&lt;4, "Poor", E165&lt;7, "Average", E165&lt;9, "Good", TRUE, "Excellent")</f>
        <v>Excellent</v>
      </c>
      <c r="L165" t="str">
        <f t="shared" si="13"/>
        <v>M1163 - Movie_163</v>
      </c>
      <c r="M165" t="str">
        <f t="shared" si="14"/>
        <v>Fre</v>
      </c>
      <c r="N165" t="str">
        <f t="shared" si="15"/>
        <v>10</v>
      </c>
      <c r="O165">
        <f t="shared" si="16"/>
        <v>9</v>
      </c>
      <c r="P165" t="str">
        <f t="shared" si="17"/>
        <v>Sci-Fi</v>
      </c>
    </row>
    <row r="166" spans="1:16">
      <c r="A166" t="s">
        <v>362</v>
      </c>
      <c r="B166" t="s">
        <v>363</v>
      </c>
      <c r="C166" t="s">
        <v>34</v>
      </c>
      <c r="D166">
        <v>159</v>
      </c>
      <c r="E166">
        <v>8.6999999999999993</v>
      </c>
      <c r="F166" t="s">
        <v>35</v>
      </c>
      <c r="G166">
        <v>1990</v>
      </c>
      <c r="H166" t="s">
        <v>25</v>
      </c>
      <c r="I166" s="2">
        <v>44268</v>
      </c>
      <c r="J166" t="str">
        <f t="shared" si="12"/>
        <v>Long</v>
      </c>
      <c r="K166" t="str" cm="1">
        <f t="array" ref="K166">_xlfn.IFS(E166&lt;4, "Poor", E166&lt;7, "Average", E166&lt;9, "Good", TRUE, "Excellent")</f>
        <v>Good</v>
      </c>
      <c r="L166" t="str">
        <f t="shared" si="13"/>
        <v>M1164 - Movie_164</v>
      </c>
      <c r="M166" t="str">
        <f t="shared" si="14"/>
        <v>Eng</v>
      </c>
      <c r="N166" t="str">
        <f t="shared" si="15"/>
        <v>90</v>
      </c>
      <c r="O166">
        <f t="shared" si="16"/>
        <v>9</v>
      </c>
      <c r="P166" t="str">
        <f t="shared" si="17"/>
        <v>Drama</v>
      </c>
    </row>
    <row r="167" spans="1:16">
      <c r="A167" t="s">
        <v>364</v>
      </c>
      <c r="B167" t="s">
        <v>365</v>
      </c>
      <c r="C167" t="s">
        <v>18</v>
      </c>
      <c r="D167">
        <v>167</v>
      </c>
      <c r="E167">
        <v>7.5</v>
      </c>
      <c r="F167" t="s">
        <v>35</v>
      </c>
      <c r="G167">
        <v>2013</v>
      </c>
      <c r="H167" t="s">
        <v>25</v>
      </c>
      <c r="I167" s="2">
        <v>44807</v>
      </c>
      <c r="J167" t="str">
        <f t="shared" si="12"/>
        <v>Long</v>
      </c>
      <c r="K167" t="str" cm="1">
        <f t="array" ref="K167">_xlfn.IFS(E167&lt;4, "Poor", E167&lt;7, "Average", E167&lt;9, "Good", TRUE, "Excellent")</f>
        <v>Good</v>
      </c>
      <c r="L167" t="str">
        <f t="shared" si="13"/>
        <v>M1165 - Movie_165</v>
      </c>
      <c r="M167" t="str">
        <f t="shared" si="14"/>
        <v>Eng</v>
      </c>
      <c r="N167" t="str">
        <f t="shared" si="15"/>
        <v>13</v>
      </c>
      <c r="O167">
        <f t="shared" si="16"/>
        <v>9</v>
      </c>
      <c r="P167" t="str">
        <f t="shared" si="17"/>
        <v>Horror</v>
      </c>
    </row>
    <row r="168" spans="1:16">
      <c r="A168" t="s">
        <v>366</v>
      </c>
      <c r="B168" t="s">
        <v>367</v>
      </c>
      <c r="C168" t="s">
        <v>34</v>
      </c>
      <c r="D168">
        <v>197</v>
      </c>
      <c r="E168">
        <v>9.8000000000000007</v>
      </c>
      <c r="F168" t="s">
        <v>28</v>
      </c>
      <c r="G168">
        <v>2020</v>
      </c>
      <c r="H168" t="s">
        <v>25</v>
      </c>
      <c r="I168" s="2">
        <v>43990</v>
      </c>
      <c r="J168" t="str">
        <f t="shared" si="12"/>
        <v>Long</v>
      </c>
      <c r="K168" t="str" cm="1">
        <f t="array" ref="K168">_xlfn.IFS(E168&lt;4, "Poor", E168&lt;7, "Average", E168&lt;9, "Good", TRUE, "Excellent")</f>
        <v>Excellent</v>
      </c>
      <c r="L168" t="str">
        <f t="shared" si="13"/>
        <v>M1166 - Movie_166</v>
      </c>
      <c r="M168" t="str">
        <f t="shared" si="14"/>
        <v>Spa</v>
      </c>
      <c r="N168" t="str">
        <f t="shared" si="15"/>
        <v>20</v>
      </c>
      <c r="O168">
        <f t="shared" si="16"/>
        <v>9</v>
      </c>
      <c r="P168" t="str">
        <f t="shared" si="17"/>
        <v>Drama</v>
      </c>
    </row>
    <row r="169" spans="1:16">
      <c r="A169" t="s">
        <v>368</v>
      </c>
      <c r="B169" t="s">
        <v>369</v>
      </c>
      <c r="C169" t="s">
        <v>23</v>
      </c>
      <c r="D169">
        <v>199</v>
      </c>
      <c r="E169">
        <v>9.6999999999999993</v>
      </c>
      <c r="F169" t="s">
        <v>61</v>
      </c>
      <c r="G169">
        <v>2019</v>
      </c>
      <c r="H169" t="s">
        <v>25</v>
      </c>
      <c r="I169" s="2">
        <v>44102</v>
      </c>
      <c r="J169" t="str">
        <f t="shared" si="12"/>
        <v>Long</v>
      </c>
      <c r="K169" t="str" cm="1">
        <f t="array" ref="K169">_xlfn.IFS(E169&lt;4, "Poor", E169&lt;7, "Average", E169&lt;9, "Good", TRUE, "Excellent")</f>
        <v>Excellent</v>
      </c>
      <c r="L169" t="str">
        <f t="shared" si="13"/>
        <v>M1167 - Movie_167</v>
      </c>
      <c r="M169" t="str">
        <f t="shared" si="14"/>
        <v>Ger</v>
      </c>
      <c r="N169" t="str">
        <f t="shared" si="15"/>
        <v>19</v>
      </c>
      <c r="O169">
        <f t="shared" si="16"/>
        <v>9</v>
      </c>
      <c r="P169" t="str">
        <f t="shared" si="17"/>
        <v>Action</v>
      </c>
    </row>
    <row r="170" spans="1:16">
      <c r="A170" t="s">
        <v>370</v>
      </c>
      <c r="B170" t="s">
        <v>371</v>
      </c>
      <c r="C170" t="s">
        <v>34</v>
      </c>
      <c r="D170">
        <v>116</v>
      </c>
      <c r="E170">
        <v>8.1999999999999993</v>
      </c>
      <c r="F170" t="s">
        <v>19</v>
      </c>
      <c r="G170">
        <v>2004</v>
      </c>
      <c r="H170" t="s">
        <v>20</v>
      </c>
      <c r="I170" s="2">
        <v>45046</v>
      </c>
      <c r="J170" t="str">
        <f t="shared" si="12"/>
        <v>Short</v>
      </c>
      <c r="K170" t="str" cm="1">
        <f t="array" ref="K170">_xlfn.IFS(E170&lt;4, "Poor", E170&lt;7, "Average", E170&lt;9, "Good", TRUE, "Excellent")</f>
        <v>Good</v>
      </c>
      <c r="L170" t="str">
        <f t="shared" si="13"/>
        <v>M1168 - Movie_168</v>
      </c>
      <c r="M170" t="str">
        <f t="shared" si="14"/>
        <v>Jap</v>
      </c>
      <c r="N170" t="str">
        <f t="shared" si="15"/>
        <v>04</v>
      </c>
      <c r="O170">
        <f t="shared" si="16"/>
        <v>9</v>
      </c>
      <c r="P170" t="str">
        <f t="shared" si="17"/>
        <v>Drama</v>
      </c>
    </row>
    <row r="171" spans="1:16">
      <c r="A171" t="s">
        <v>372</v>
      </c>
      <c r="B171" t="s">
        <v>373</v>
      </c>
      <c r="C171" t="s">
        <v>67</v>
      </c>
      <c r="D171">
        <v>184</v>
      </c>
      <c r="E171">
        <v>4.3</v>
      </c>
      <c r="F171" t="s">
        <v>24</v>
      </c>
      <c r="G171">
        <v>1989</v>
      </c>
      <c r="H171" t="s">
        <v>25</v>
      </c>
      <c r="I171" s="2">
        <v>44294</v>
      </c>
      <c r="J171" t="str">
        <f t="shared" si="12"/>
        <v>Long</v>
      </c>
      <c r="K171" t="str" cm="1">
        <f t="array" ref="K171">_xlfn.IFS(E171&lt;4, "Poor", E171&lt;7, "Average", E171&lt;9, "Good", TRUE, "Excellent")</f>
        <v>Average</v>
      </c>
      <c r="L171" t="str">
        <f t="shared" si="13"/>
        <v>M1169 - Movie_169</v>
      </c>
      <c r="M171" t="str">
        <f t="shared" si="14"/>
        <v>Hin</v>
      </c>
      <c r="N171" t="str">
        <f t="shared" si="15"/>
        <v>89</v>
      </c>
      <c r="O171">
        <f t="shared" si="16"/>
        <v>9</v>
      </c>
      <c r="P171" t="str">
        <f t="shared" si="17"/>
        <v>Thriller</v>
      </c>
    </row>
    <row r="172" spans="1:16">
      <c r="A172" t="s">
        <v>374</v>
      </c>
      <c r="B172" t="s">
        <v>375</v>
      </c>
      <c r="C172" t="s">
        <v>40</v>
      </c>
      <c r="D172">
        <v>116</v>
      </c>
      <c r="E172">
        <v>8.1</v>
      </c>
      <c r="F172" t="s">
        <v>61</v>
      </c>
      <c r="G172">
        <v>2023</v>
      </c>
      <c r="H172" t="s">
        <v>25</v>
      </c>
      <c r="I172" s="2">
        <v>44894</v>
      </c>
      <c r="J172" t="str">
        <f t="shared" si="12"/>
        <v>Short</v>
      </c>
      <c r="K172" t="str" cm="1">
        <f t="array" ref="K172">_xlfn.IFS(E172&lt;4, "Poor", E172&lt;7, "Average", E172&lt;9, "Good", TRUE, "Excellent")</f>
        <v>Good</v>
      </c>
      <c r="L172" t="str">
        <f t="shared" si="13"/>
        <v>M1170 - Movie_170</v>
      </c>
      <c r="M172" t="str">
        <f t="shared" si="14"/>
        <v>Ger</v>
      </c>
      <c r="N172" t="str">
        <f t="shared" si="15"/>
        <v>23</v>
      </c>
      <c r="O172">
        <f t="shared" si="16"/>
        <v>9</v>
      </c>
      <c r="P172" t="str">
        <f t="shared" si="17"/>
        <v>Comedy</v>
      </c>
    </row>
    <row r="173" spans="1:16">
      <c r="A173" t="s">
        <v>376</v>
      </c>
      <c r="B173" t="s">
        <v>377</v>
      </c>
      <c r="C173" t="s">
        <v>67</v>
      </c>
      <c r="D173">
        <v>129</v>
      </c>
      <c r="E173">
        <v>1.1000000000000001</v>
      </c>
      <c r="F173" t="s">
        <v>35</v>
      </c>
      <c r="G173">
        <v>1995</v>
      </c>
      <c r="H173" t="s">
        <v>25</v>
      </c>
      <c r="I173" s="2">
        <v>45223</v>
      </c>
      <c r="J173" t="str">
        <f t="shared" si="12"/>
        <v>Long</v>
      </c>
      <c r="K173" t="str" cm="1">
        <f t="array" ref="K173">_xlfn.IFS(E173&lt;4, "Poor", E173&lt;7, "Average", E173&lt;9, "Good", TRUE, "Excellent")</f>
        <v>Poor</v>
      </c>
      <c r="L173" t="str">
        <f t="shared" si="13"/>
        <v>M1171 - Movie_171</v>
      </c>
      <c r="M173" t="str">
        <f t="shared" si="14"/>
        <v>Eng</v>
      </c>
      <c r="N173" t="str">
        <f t="shared" si="15"/>
        <v>95</v>
      </c>
      <c r="O173">
        <f t="shared" si="16"/>
        <v>9</v>
      </c>
      <c r="P173" t="str">
        <f t="shared" si="17"/>
        <v>Thriller</v>
      </c>
    </row>
    <row r="174" spans="1:16">
      <c r="A174" t="s">
        <v>378</v>
      </c>
      <c r="B174" t="s">
        <v>379</v>
      </c>
      <c r="C174" t="s">
        <v>23</v>
      </c>
      <c r="D174">
        <v>171</v>
      </c>
      <c r="E174">
        <v>5.8</v>
      </c>
      <c r="F174" t="s">
        <v>35</v>
      </c>
      <c r="G174">
        <v>1982</v>
      </c>
      <c r="H174" t="s">
        <v>20</v>
      </c>
      <c r="I174" s="2">
        <v>44742</v>
      </c>
      <c r="J174" t="str">
        <f t="shared" si="12"/>
        <v>Long</v>
      </c>
      <c r="K174" t="str" cm="1">
        <f t="array" ref="K174">_xlfn.IFS(E174&lt;4, "Poor", E174&lt;7, "Average", E174&lt;9, "Good", TRUE, "Excellent")</f>
        <v>Average</v>
      </c>
      <c r="L174" t="str">
        <f t="shared" si="13"/>
        <v>M1172 - Movie_172</v>
      </c>
      <c r="M174" t="str">
        <f t="shared" si="14"/>
        <v>Eng</v>
      </c>
      <c r="N174" t="str">
        <f t="shared" si="15"/>
        <v>82</v>
      </c>
      <c r="O174">
        <f t="shared" si="16"/>
        <v>9</v>
      </c>
      <c r="P174" t="str">
        <f t="shared" si="17"/>
        <v>Action</v>
      </c>
    </row>
    <row r="175" spans="1:16">
      <c r="A175" t="s">
        <v>380</v>
      </c>
      <c r="B175" t="s">
        <v>381</v>
      </c>
      <c r="C175" t="s">
        <v>18</v>
      </c>
      <c r="D175">
        <v>184</v>
      </c>
      <c r="E175">
        <v>5.0999999999999996</v>
      </c>
      <c r="F175" t="s">
        <v>61</v>
      </c>
      <c r="G175">
        <v>2016</v>
      </c>
      <c r="H175" t="s">
        <v>20</v>
      </c>
      <c r="I175" s="2">
        <v>43850</v>
      </c>
      <c r="J175" t="str">
        <f t="shared" si="12"/>
        <v>Long</v>
      </c>
      <c r="K175" t="str" cm="1">
        <f t="array" ref="K175">_xlfn.IFS(E175&lt;4, "Poor", E175&lt;7, "Average", E175&lt;9, "Good", TRUE, "Excellent")</f>
        <v>Average</v>
      </c>
      <c r="L175" t="str">
        <f t="shared" si="13"/>
        <v>M1173 - Movie_173</v>
      </c>
      <c r="M175" t="str">
        <f t="shared" si="14"/>
        <v>Ger</v>
      </c>
      <c r="N175" t="str">
        <f t="shared" si="15"/>
        <v>16</v>
      </c>
      <c r="O175">
        <f t="shared" si="16"/>
        <v>9</v>
      </c>
      <c r="P175" t="str">
        <f t="shared" si="17"/>
        <v>Horror</v>
      </c>
    </row>
    <row r="176" spans="1:16">
      <c r="A176" t="s">
        <v>382</v>
      </c>
      <c r="B176" t="s">
        <v>383</v>
      </c>
      <c r="C176" t="s">
        <v>18</v>
      </c>
      <c r="D176">
        <v>67</v>
      </c>
      <c r="E176">
        <v>7.1</v>
      </c>
      <c r="F176" t="s">
        <v>24</v>
      </c>
      <c r="G176">
        <v>2024</v>
      </c>
      <c r="H176" t="s">
        <v>25</v>
      </c>
      <c r="I176" s="2">
        <v>43847</v>
      </c>
      <c r="J176" t="str">
        <f t="shared" si="12"/>
        <v>Short</v>
      </c>
      <c r="K176" t="str" cm="1">
        <f t="array" ref="K176">_xlfn.IFS(E176&lt;4, "Poor", E176&lt;7, "Average", E176&lt;9, "Good", TRUE, "Excellent")</f>
        <v>Good</v>
      </c>
      <c r="L176" t="str">
        <f t="shared" si="13"/>
        <v>M1174 - Movie_174</v>
      </c>
      <c r="M176" t="str">
        <f t="shared" si="14"/>
        <v>Hin</v>
      </c>
      <c r="N176" t="str">
        <f t="shared" si="15"/>
        <v>24</v>
      </c>
      <c r="O176">
        <f t="shared" si="16"/>
        <v>9</v>
      </c>
      <c r="P176" t="str">
        <f t="shared" si="17"/>
        <v>Horror</v>
      </c>
    </row>
    <row r="177" spans="1:16">
      <c r="A177" t="s">
        <v>384</v>
      </c>
      <c r="B177" t="s">
        <v>385</v>
      </c>
      <c r="C177" t="s">
        <v>34</v>
      </c>
      <c r="D177">
        <v>159</v>
      </c>
      <c r="E177">
        <v>7.1</v>
      </c>
      <c r="F177" t="s">
        <v>24</v>
      </c>
      <c r="G177">
        <v>1987</v>
      </c>
      <c r="H177" t="s">
        <v>20</v>
      </c>
      <c r="I177" s="2">
        <v>45255</v>
      </c>
      <c r="J177" t="str">
        <f t="shared" si="12"/>
        <v>Long</v>
      </c>
      <c r="K177" t="str" cm="1">
        <f t="array" ref="K177">_xlfn.IFS(E177&lt;4, "Poor", E177&lt;7, "Average", E177&lt;9, "Good", TRUE, "Excellent")</f>
        <v>Good</v>
      </c>
      <c r="L177" t="str">
        <f t="shared" si="13"/>
        <v>M1175 - Movie_175</v>
      </c>
      <c r="M177" t="str">
        <f t="shared" si="14"/>
        <v>Hin</v>
      </c>
      <c r="N177" t="str">
        <f t="shared" si="15"/>
        <v>87</v>
      </c>
      <c r="O177">
        <f t="shared" si="16"/>
        <v>9</v>
      </c>
      <c r="P177" t="str">
        <f t="shared" si="17"/>
        <v>Drama</v>
      </c>
    </row>
    <row r="178" spans="1:16">
      <c r="A178" t="s">
        <v>386</v>
      </c>
      <c r="B178" t="s">
        <v>387</v>
      </c>
      <c r="C178" t="s">
        <v>58</v>
      </c>
      <c r="D178">
        <v>146</v>
      </c>
      <c r="E178">
        <v>6.3</v>
      </c>
      <c r="F178" t="s">
        <v>35</v>
      </c>
      <c r="G178">
        <v>1992</v>
      </c>
      <c r="H178" t="s">
        <v>20</v>
      </c>
      <c r="I178" s="2">
        <v>44534</v>
      </c>
      <c r="J178" t="str">
        <f t="shared" si="12"/>
        <v>Long</v>
      </c>
      <c r="K178" t="str" cm="1">
        <f t="array" ref="K178">_xlfn.IFS(E178&lt;4, "Poor", E178&lt;7, "Average", E178&lt;9, "Good", TRUE, "Excellent")</f>
        <v>Average</v>
      </c>
      <c r="L178" t="str">
        <f t="shared" si="13"/>
        <v>M1176 - Movie_176</v>
      </c>
      <c r="M178" t="str">
        <f t="shared" si="14"/>
        <v>Eng</v>
      </c>
      <c r="N178" t="str">
        <f t="shared" si="15"/>
        <v>92</v>
      </c>
      <c r="O178">
        <f t="shared" si="16"/>
        <v>9</v>
      </c>
      <c r="P178" t="str">
        <f t="shared" si="17"/>
        <v>Sci-Fi</v>
      </c>
    </row>
    <row r="179" spans="1:16">
      <c r="A179" t="s">
        <v>388</v>
      </c>
      <c r="B179" t="s">
        <v>389</v>
      </c>
      <c r="C179" t="s">
        <v>40</v>
      </c>
      <c r="D179">
        <v>163</v>
      </c>
      <c r="E179">
        <v>8.4</v>
      </c>
      <c r="F179" t="s">
        <v>19</v>
      </c>
      <c r="G179">
        <v>1981</v>
      </c>
      <c r="H179" t="s">
        <v>20</v>
      </c>
      <c r="I179" s="2">
        <v>45504</v>
      </c>
      <c r="J179" t="str">
        <f t="shared" si="12"/>
        <v>Long</v>
      </c>
      <c r="K179" t="str" cm="1">
        <f t="array" ref="K179">_xlfn.IFS(E179&lt;4, "Poor", E179&lt;7, "Average", E179&lt;9, "Good", TRUE, "Excellent")</f>
        <v>Good</v>
      </c>
      <c r="L179" t="str">
        <f t="shared" si="13"/>
        <v>M1177 - Movie_177</v>
      </c>
      <c r="M179" t="str">
        <f t="shared" si="14"/>
        <v>Jap</v>
      </c>
      <c r="N179" t="str">
        <f t="shared" si="15"/>
        <v>81</v>
      </c>
      <c r="O179">
        <f t="shared" si="16"/>
        <v>9</v>
      </c>
      <c r="P179" t="str">
        <f t="shared" si="17"/>
        <v>Comedy</v>
      </c>
    </row>
    <row r="180" spans="1:16">
      <c r="A180" t="s">
        <v>390</v>
      </c>
      <c r="B180" t="s">
        <v>391</v>
      </c>
      <c r="C180" t="s">
        <v>58</v>
      </c>
      <c r="D180">
        <v>102</v>
      </c>
      <c r="E180">
        <v>9.5</v>
      </c>
      <c r="F180" t="s">
        <v>24</v>
      </c>
      <c r="G180">
        <v>2008</v>
      </c>
      <c r="H180" t="s">
        <v>25</v>
      </c>
      <c r="I180" s="2">
        <v>44077</v>
      </c>
      <c r="J180" t="str">
        <f t="shared" si="12"/>
        <v>Short</v>
      </c>
      <c r="K180" t="str" cm="1">
        <f t="array" ref="K180">_xlfn.IFS(E180&lt;4, "Poor", E180&lt;7, "Average", E180&lt;9, "Good", TRUE, "Excellent")</f>
        <v>Excellent</v>
      </c>
      <c r="L180" t="str">
        <f t="shared" si="13"/>
        <v>M1178 - Movie_178</v>
      </c>
      <c r="M180" t="str">
        <f t="shared" si="14"/>
        <v>Hin</v>
      </c>
      <c r="N180" t="str">
        <f t="shared" si="15"/>
        <v>08</v>
      </c>
      <c r="O180">
        <f t="shared" si="16"/>
        <v>9</v>
      </c>
      <c r="P180" t="str">
        <f t="shared" si="17"/>
        <v>Sci-Fi</v>
      </c>
    </row>
    <row r="181" spans="1:16">
      <c r="A181" t="s">
        <v>392</v>
      </c>
      <c r="B181" t="s">
        <v>393</v>
      </c>
      <c r="C181" t="s">
        <v>23</v>
      </c>
      <c r="D181">
        <v>179</v>
      </c>
      <c r="E181">
        <v>2</v>
      </c>
      <c r="F181" t="s">
        <v>24</v>
      </c>
      <c r="G181">
        <v>2000</v>
      </c>
      <c r="H181" t="s">
        <v>25</v>
      </c>
      <c r="I181" s="2">
        <v>44695</v>
      </c>
      <c r="J181" t="str">
        <f t="shared" si="12"/>
        <v>Long</v>
      </c>
      <c r="K181" t="str" cm="1">
        <f t="array" ref="K181">_xlfn.IFS(E181&lt;4, "Poor", E181&lt;7, "Average", E181&lt;9, "Good", TRUE, "Excellent")</f>
        <v>Poor</v>
      </c>
      <c r="L181" t="str">
        <f t="shared" si="13"/>
        <v>M1179 - Movie_179</v>
      </c>
      <c r="M181" t="str">
        <f t="shared" si="14"/>
        <v>Hin</v>
      </c>
      <c r="N181" t="str">
        <f t="shared" si="15"/>
        <v>00</v>
      </c>
      <c r="O181">
        <f t="shared" si="16"/>
        <v>9</v>
      </c>
      <c r="P181" t="str">
        <f t="shared" si="17"/>
        <v>Action</v>
      </c>
    </row>
    <row r="182" spans="1:16">
      <c r="A182" t="s">
        <v>394</v>
      </c>
      <c r="B182" t="s">
        <v>395</v>
      </c>
      <c r="C182" t="s">
        <v>18</v>
      </c>
      <c r="D182">
        <v>92</v>
      </c>
      <c r="E182">
        <v>3.1</v>
      </c>
      <c r="F182" t="s">
        <v>28</v>
      </c>
      <c r="G182">
        <v>2006</v>
      </c>
      <c r="H182" t="s">
        <v>25</v>
      </c>
      <c r="I182" s="2">
        <v>45252</v>
      </c>
      <c r="J182" t="str">
        <f t="shared" si="12"/>
        <v>Short</v>
      </c>
      <c r="K182" t="str" cm="1">
        <f t="array" ref="K182">_xlfn.IFS(E182&lt;4, "Poor", E182&lt;7, "Average", E182&lt;9, "Good", TRUE, "Excellent")</f>
        <v>Poor</v>
      </c>
      <c r="L182" t="str">
        <f t="shared" si="13"/>
        <v>M1180 - Movie_180</v>
      </c>
      <c r="M182" t="str">
        <f t="shared" si="14"/>
        <v>Spa</v>
      </c>
      <c r="N182" t="str">
        <f t="shared" si="15"/>
        <v>06</v>
      </c>
      <c r="O182">
        <f t="shared" si="16"/>
        <v>9</v>
      </c>
      <c r="P182" t="str">
        <f t="shared" si="17"/>
        <v>Horror</v>
      </c>
    </row>
    <row r="183" spans="1:16">
      <c r="A183" t="s">
        <v>396</v>
      </c>
      <c r="B183" t="s">
        <v>397</v>
      </c>
      <c r="C183" t="s">
        <v>34</v>
      </c>
      <c r="D183">
        <v>196</v>
      </c>
      <c r="E183">
        <v>1.2</v>
      </c>
      <c r="F183" t="s">
        <v>19</v>
      </c>
      <c r="G183">
        <v>1989</v>
      </c>
      <c r="H183" t="s">
        <v>25</v>
      </c>
      <c r="I183" s="2">
        <v>44101</v>
      </c>
      <c r="J183" t="str">
        <f t="shared" si="12"/>
        <v>Long</v>
      </c>
      <c r="K183" t="str" cm="1">
        <f t="array" ref="K183">_xlfn.IFS(E183&lt;4, "Poor", E183&lt;7, "Average", E183&lt;9, "Good", TRUE, "Excellent")</f>
        <v>Poor</v>
      </c>
      <c r="L183" t="str">
        <f t="shared" si="13"/>
        <v>M1181 - Movie_181</v>
      </c>
      <c r="M183" t="str">
        <f t="shared" si="14"/>
        <v>Jap</v>
      </c>
      <c r="N183" t="str">
        <f t="shared" si="15"/>
        <v>89</v>
      </c>
      <c r="O183">
        <f t="shared" si="16"/>
        <v>9</v>
      </c>
      <c r="P183" t="str">
        <f t="shared" si="17"/>
        <v>Drama</v>
      </c>
    </row>
    <row r="184" spans="1:16">
      <c r="A184" t="s">
        <v>398</v>
      </c>
      <c r="B184" t="s">
        <v>399</v>
      </c>
      <c r="C184" t="s">
        <v>18</v>
      </c>
      <c r="D184">
        <v>66</v>
      </c>
      <c r="E184">
        <v>9</v>
      </c>
      <c r="F184" t="s">
        <v>28</v>
      </c>
      <c r="G184">
        <v>2006</v>
      </c>
      <c r="H184" t="s">
        <v>20</v>
      </c>
      <c r="I184" s="2">
        <v>44809</v>
      </c>
      <c r="J184" t="str">
        <f t="shared" si="12"/>
        <v>Short</v>
      </c>
      <c r="K184" t="str" cm="1">
        <f t="array" ref="K184">_xlfn.IFS(E184&lt;4, "Poor", E184&lt;7, "Average", E184&lt;9, "Good", TRUE, "Excellent")</f>
        <v>Excellent</v>
      </c>
      <c r="L184" t="str">
        <f t="shared" si="13"/>
        <v>M1182 - Movie_182</v>
      </c>
      <c r="M184" t="str">
        <f t="shared" si="14"/>
        <v>Spa</v>
      </c>
      <c r="N184" t="str">
        <f t="shared" si="15"/>
        <v>06</v>
      </c>
      <c r="O184">
        <f t="shared" si="16"/>
        <v>9</v>
      </c>
      <c r="P184" t="str">
        <f t="shared" si="17"/>
        <v>Horror</v>
      </c>
    </row>
    <row r="185" spans="1:16">
      <c r="A185" t="s">
        <v>400</v>
      </c>
      <c r="B185" t="s">
        <v>401</v>
      </c>
      <c r="C185" t="s">
        <v>58</v>
      </c>
      <c r="D185">
        <v>160</v>
      </c>
      <c r="E185">
        <v>6.1</v>
      </c>
      <c r="F185" t="s">
        <v>31</v>
      </c>
      <c r="G185">
        <v>2024</v>
      </c>
      <c r="H185" t="s">
        <v>20</v>
      </c>
      <c r="I185" s="2">
        <v>43976</v>
      </c>
      <c r="J185" t="str">
        <f t="shared" si="12"/>
        <v>Long</v>
      </c>
      <c r="K185" t="str" cm="1">
        <f t="array" ref="K185">_xlfn.IFS(E185&lt;4, "Poor", E185&lt;7, "Average", E185&lt;9, "Good", TRUE, "Excellent")</f>
        <v>Average</v>
      </c>
      <c r="L185" t="str">
        <f t="shared" si="13"/>
        <v>M1183 - Movie_183</v>
      </c>
      <c r="M185" t="str">
        <f t="shared" si="14"/>
        <v>Fre</v>
      </c>
      <c r="N185" t="str">
        <f t="shared" si="15"/>
        <v>24</v>
      </c>
      <c r="O185">
        <f t="shared" si="16"/>
        <v>9</v>
      </c>
      <c r="P185" t="str">
        <f t="shared" si="17"/>
        <v>Sci-Fi</v>
      </c>
    </row>
    <row r="186" spans="1:16">
      <c r="A186" t="s">
        <v>402</v>
      </c>
      <c r="B186" t="s">
        <v>403</v>
      </c>
      <c r="C186" t="s">
        <v>58</v>
      </c>
      <c r="D186">
        <v>66</v>
      </c>
      <c r="E186">
        <v>9.1999999999999993</v>
      </c>
      <c r="F186" t="s">
        <v>61</v>
      </c>
      <c r="G186">
        <v>1993</v>
      </c>
      <c r="H186" t="s">
        <v>20</v>
      </c>
      <c r="I186" s="2">
        <v>44299</v>
      </c>
      <c r="J186" t="str">
        <f t="shared" si="12"/>
        <v>Short</v>
      </c>
      <c r="K186" t="str" cm="1">
        <f t="array" ref="K186">_xlfn.IFS(E186&lt;4, "Poor", E186&lt;7, "Average", E186&lt;9, "Good", TRUE, "Excellent")</f>
        <v>Excellent</v>
      </c>
      <c r="L186" t="str">
        <f t="shared" si="13"/>
        <v>M1184 - Movie_184</v>
      </c>
      <c r="M186" t="str">
        <f t="shared" si="14"/>
        <v>Ger</v>
      </c>
      <c r="N186" t="str">
        <f t="shared" si="15"/>
        <v>93</v>
      </c>
      <c r="O186">
        <f t="shared" si="16"/>
        <v>9</v>
      </c>
      <c r="P186" t="str">
        <f t="shared" si="17"/>
        <v>Sci-Fi</v>
      </c>
    </row>
    <row r="187" spans="1:16">
      <c r="A187" t="s">
        <v>404</v>
      </c>
      <c r="B187" t="s">
        <v>405</v>
      </c>
      <c r="C187" t="s">
        <v>40</v>
      </c>
      <c r="D187">
        <v>81</v>
      </c>
      <c r="E187">
        <v>3</v>
      </c>
      <c r="F187" t="s">
        <v>35</v>
      </c>
      <c r="G187">
        <v>2006</v>
      </c>
      <c r="H187" t="s">
        <v>20</v>
      </c>
      <c r="I187" s="2">
        <v>44615</v>
      </c>
      <c r="J187" t="str">
        <f t="shared" si="12"/>
        <v>Short</v>
      </c>
      <c r="K187" t="str" cm="1">
        <f t="array" ref="K187">_xlfn.IFS(E187&lt;4, "Poor", E187&lt;7, "Average", E187&lt;9, "Good", TRUE, "Excellent")</f>
        <v>Poor</v>
      </c>
      <c r="L187" t="str">
        <f t="shared" si="13"/>
        <v>M1185 - Movie_185</v>
      </c>
      <c r="M187" t="str">
        <f t="shared" si="14"/>
        <v>Eng</v>
      </c>
      <c r="N187" t="str">
        <f t="shared" si="15"/>
        <v>06</v>
      </c>
      <c r="O187">
        <f t="shared" si="16"/>
        <v>9</v>
      </c>
      <c r="P187" t="str">
        <f t="shared" si="17"/>
        <v>Comedy</v>
      </c>
    </row>
    <row r="188" spans="1:16">
      <c r="A188" t="s">
        <v>406</v>
      </c>
      <c r="B188" t="s">
        <v>407</v>
      </c>
      <c r="C188" t="s">
        <v>40</v>
      </c>
      <c r="D188">
        <v>169</v>
      </c>
      <c r="E188">
        <v>1.6</v>
      </c>
      <c r="F188" t="s">
        <v>24</v>
      </c>
      <c r="G188">
        <v>2012</v>
      </c>
      <c r="H188" t="s">
        <v>25</v>
      </c>
      <c r="I188" s="2">
        <v>44013</v>
      </c>
      <c r="J188" t="str">
        <f t="shared" si="12"/>
        <v>Long</v>
      </c>
      <c r="K188" t="str" cm="1">
        <f t="array" ref="K188">_xlfn.IFS(E188&lt;4, "Poor", E188&lt;7, "Average", E188&lt;9, "Good", TRUE, "Excellent")</f>
        <v>Poor</v>
      </c>
      <c r="L188" t="str">
        <f t="shared" si="13"/>
        <v>M1186 - Movie_186</v>
      </c>
      <c r="M188" t="str">
        <f t="shared" si="14"/>
        <v>Hin</v>
      </c>
      <c r="N188" t="str">
        <f t="shared" si="15"/>
        <v>12</v>
      </c>
      <c r="O188">
        <f t="shared" si="16"/>
        <v>9</v>
      </c>
      <c r="P188" t="str">
        <f t="shared" si="17"/>
        <v>Comedy</v>
      </c>
    </row>
    <row r="189" spans="1:16">
      <c r="A189" t="s">
        <v>408</v>
      </c>
      <c r="B189" t="s">
        <v>409</v>
      </c>
      <c r="C189" t="s">
        <v>34</v>
      </c>
      <c r="D189">
        <v>94</v>
      </c>
      <c r="E189">
        <v>8.4</v>
      </c>
      <c r="F189" t="s">
        <v>31</v>
      </c>
      <c r="G189">
        <v>2019</v>
      </c>
      <c r="H189" t="s">
        <v>25</v>
      </c>
      <c r="I189" s="2">
        <v>45327</v>
      </c>
      <c r="J189" t="str">
        <f t="shared" si="12"/>
        <v>Short</v>
      </c>
      <c r="K189" t="str" cm="1">
        <f t="array" ref="K189">_xlfn.IFS(E189&lt;4, "Poor", E189&lt;7, "Average", E189&lt;9, "Good", TRUE, "Excellent")</f>
        <v>Good</v>
      </c>
      <c r="L189" t="str">
        <f t="shared" si="13"/>
        <v>M1187 - Movie_187</v>
      </c>
      <c r="M189" t="str">
        <f t="shared" si="14"/>
        <v>Fre</v>
      </c>
      <c r="N189" t="str">
        <f t="shared" si="15"/>
        <v>19</v>
      </c>
      <c r="O189">
        <f t="shared" si="16"/>
        <v>9</v>
      </c>
      <c r="P189" t="str">
        <f t="shared" si="17"/>
        <v>Drama</v>
      </c>
    </row>
    <row r="190" spans="1:16">
      <c r="A190" t="s">
        <v>410</v>
      </c>
      <c r="B190" t="s">
        <v>411</v>
      </c>
      <c r="C190" t="s">
        <v>40</v>
      </c>
      <c r="D190">
        <v>178</v>
      </c>
      <c r="E190">
        <v>9.1999999999999993</v>
      </c>
      <c r="F190" t="s">
        <v>28</v>
      </c>
      <c r="G190">
        <v>2010</v>
      </c>
      <c r="H190" t="s">
        <v>25</v>
      </c>
      <c r="I190" s="2">
        <v>45481</v>
      </c>
      <c r="J190" t="str">
        <f t="shared" si="12"/>
        <v>Long</v>
      </c>
      <c r="K190" t="str" cm="1">
        <f t="array" ref="K190">_xlfn.IFS(E190&lt;4, "Poor", E190&lt;7, "Average", E190&lt;9, "Good", TRUE, "Excellent")</f>
        <v>Excellent</v>
      </c>
      <c r="L190" t="str">
        <f t="shared" si="13"/>
        <v>M1188 - Movie_188</v>
      </c>
      <c r="M190" t="str">
        <f t="shared" si="14"/>
        <v>Spa</v>
      </c>
      <c r="N190" t="str">
        <f t="shared" si="15"/>
        <v>10</v>
      </c>
      <c r="O190">
        <f t="shared" si="16"/>
        <v>9</v>
      </c>
      <c r="P190" t="str">
        <f t="shared" si="17"/>
        <v>Comedy</v>
      </c>
    </row>
    <row r="191" spans="1:16">
      <c r="A191" t="s">
        <v>412</v>
      </c>
      <c r="B191" t="s">
        <v>413</v>
      </c>
      <c r="C191" t="s">
        <v>58</v>
      </c>
      <c r="D191">
        <v>106</v>
      </c>
      <c r="E191">
        <v>3.7</v>
      </c>
      <c r="F191" t="s">
        <v>24</v>
      </c>
      <c r="G191">
        <v>1983</v>
      </c>
      <c r="H191" t="s">
        <v>20</v>
      </c>
      <c r="I191" s="2">
        <v>44040</v>
      </c>
      <c r="J191" t="str">
        <f t="shared" si="12"/>
        <v>Short</v>
      </c>
      <c r="K191" t="str" cm="1">
        <f t="array" ref="K191">_xlfn.IFS(E191&lt;4, "Poor", E191&lt;7, "Average", E191&lt;9, "Good", TRUE, "Excellent")</f>
        <v>Poor</v>
      </c>
      <c r="L191" t="str">
        <f t="shared" si="13"/>
        <v>M1189 - Movie_189</v>
      </c>
      <c r="M191" t="str">
        <f t="shared" si="14"/>
        <v>Hin</v>
      </c>
      <c r="N191" t="str">
        <f t="shared" si="15"/>
        <v>83</v>
      </c>
      <c r="O191">
        <f t="shared" si="16"/>
        <v>9</v>
      </c>
      <c r="P191" t="str">
        <f t="shared" si="17"/>
        <v>Sci-Fi</v>
      </c>
    </row>
    <row r="192" spans="1:16">
      <c r="A192" t="s">
        <v>414</v>
      </c>
      <c r="B192" t="s">
        <v>415</v>
      </c>
      <c r="C192" t="s">
        <v>58</v>
      </c>
      <c r="D192">
        <v>72</v>
      </c>
      <c r="E192">
        <v>4.7</v>
      </c>
      <c r="F192" t="s">
        <v>61</v>
      </c>
      <c r="G192">
        <v>2025</v>
      </c>
      <c r="H192" t="s">
        <v>20</v>
      </c>
      <c r="I192" s="2">
        <v>44042</v>
      </c>
      <c r="J192" t="str">
        <f t="shared" si="12"/>
        <v>Short</v>
      </c>
      <c r="K192" t="str" cm="1">
        <f t="array" ref="K192">_xlfn.IFS(E192&lt;4, "Poor", E192&lt;7, "Average", E192&lt;9, "Good", TRUE, "Excellent")</f>
        <v>Average</v>
      </c>
      <c r="L192" t="str">
        <f t="shared" si="13"/>
        <v>M1190 - Movie_190</v>
      </c>
      <c r="M192" t="str">
        <f t="shared" si="14"/>
        <v>Ger</v>
      </c>
      <c r="N192" t="str">
        <f t="shared" si="15"/>
        <v>25</v>
      </c>
      <c r="O192">
        <f t="shared" si="16"/>
        <v>9</v>
      </c>
      <c r="P192" t="str">
        <f t="shared" si="17"/>
        <v>Sci-Fi</v>
      </c>
    </row>
    <row r="193" spans="1:16">
      <c r="A193" t="s">
        <v>416</v>
      </c>
      <c r="B193" t="s">
        <v>417</v>
      </c>
      <c r="C193" t="s">
        <v>23</v>
      </c>
      <c r="D193">
        <v>126</v>
      </c>
      <c r="E193">
        <v>2.2999999999999998</v>
      </c>
      <c r="F193" t="s">
        <v>28</v>
      </c>
      <c r="G193">
        <v>1988</v>
      </c>
      <c r="H193" t="s">
        <v>20</v>
      </c>
      <c r="I193" s="2">
        <v>44472</v>
      </c>
      <c r="J193" t="str">
        <f t="shared" si="12"/>
        <v>Long</v>
      </c>
      <c r="K193" t="str" cm="1">
        <f t="array" ref="K193">_xlfn.IFS(E193&lt;4, "Poor", E193&lt;7, "Average", E193&lt;9, "Good", TRUE, "Excellent")</f>
        <v>Poor</v>
      </c>
      <c r="L193" t="str">
        <f t="shared" si="13"/>
        <v>M1191 - Movie_191</v>
      </c>
      <c r="M193" t="str">
        <f t="shared" si="14"/>
        <v>Spa</v>
      </c>
      <c r="N193" t="str">
        <f t="shared" si="15"/>
        <v>88</v>
      </c>
      <c r="O193">
        <f t="shared" si="16"/>
        <v>9</v>
      </c>
      <c r="P193" t="str">
        <f t="shared" si="17"/>
        <v>Action</v>
      </c>
    </row>
    <row r="194" spans="1:16">
      <c r="A194" t="s">
        <v>418</v>
      </c>
      <c r="B194" t="s">
        <v>419</v>
      </c>
      <c r="C194" t="s">
        <v>58</v>
      </c>
      <c r="D194">
        <v>157</v>
      </c>
      <c r="E194">
        <v>9.5</v>
      </c>
      <c r="F194" t="s">
        <v>19</v>
      </c>
      <c r="G194">
        <v>2013</v>
      </c>
      <c r="H194" t="s">
        <v>20</v>
      </c>
      <c r="I194" s="2">
        <v>44583</v>
      </c>
      <c r="J194" t="str">
        <f t="shared" si="12"/>
        <v>Long</v>
      </c>
      <c r="K194" t="str" cm="1">
        <f t="array" ref="K194">_xlfn.IFS(E194&lt;4, "Poor", E194&lt;7, "Average", E194&lt;9, "Good", TRUE, "Excellent")</f>
        <v>Excellent</v>
      </c>
      <c r="L194" t="str">
        <f t="shared" si="13"/>
        <v>M1192 - Movie_192</v>
      </c>
      <c r="M194" t="str">
        <f t="shared" si="14"/>
        <v>Jap</v>
      </c>
      <c r="N194" t="str">
        <f t="shared" si="15"/>
        <v>13</v>
      </c>
      <c r="O194">
        <f t="shared" si="16"/>
        <v>9</v>
      </c>
      <c r="P194" t="str">
        <f t="shared" si="17"/>
        <v>Sci-Fi</v>
      </c>
    </row>
    <row r="195" spans="1:16">
      <c r="A195" t="s">
        <v>420</v>
      </c>
      <c r="B195" t="s">
        <v>421</v>
      </c>
      <c r="C195" t="s">
        <v>34</v>
      </c>
      <c r="D195">
        <v>143</v>
      </c>
      <c r="E195">
        <v>3.7</v>
      </c>
      <c r="F195" t="s">
        <v>19</v>
      </c>
      <c r="G195">
        <v>1993</v>
      </c>
      <c r="H195" t="s">
        <v>25</v>
      </c>
      <c r="I195" s="2">
        <v>44443</v>
      </c>
      <c r="J195" t="str">
        <f t="shared" ref="J195:J258" si="18">IF(D195&gt;120, "Long", "Short")</f>
        <v>Long</v>
      </c>
      <c r="K195" t="str" cm="1">
        <f t="array" ref="K195">_xlfn.IFS(E195&lt;4, "Poor", E195&lt;7, "Average", E195&lt;9, "Good", TRUE, "Excellent")</f>
        <v>Poor</v>
      </c>
      <c r="L195" t="str">
        <f t="shared" ref="L195:L258" si="19">_xlfn.CONCAT(A195, " - ", B195)</f>
        <v>M1193 - Movie_193</v>
      </c>
      <c r="M195" t="str">
        <f t="shared" ref="M195:M258" si="20">LEFT(F195,3)</f>
        <v>Jap</v>
      </c>
      <c r="N195" t="str">
        <f t="shared" ref="N195:N258" si="21">RIGHT(G195,2)</f>
        <v>93</v>
      </c>
      <c r="O195">
        <f t="shared" ref="O195:O258" si="22">LEN(B195)</f>
        <v>9</v>
      </c>
      <c r="P195" t="str">
        <f t="shared" ref="P195:P258" si="23">TRIM(C195)</f>
        <v>Drama</v>
      </c>
    </row>
    <row r="196" spans="1:16">
      <c r="A196" t="s">
        <v>422</v>
      </c>
      <c r="B196" t="s">
        <v>423</v>
      </c>
      <c r="C196" t="s">
        <v>67</v>
      </c>
      <c r="D196">
        <v>114</v>
      </c>
      <c r="E196">
        <v>5.4</v>
      </c>
      <c r="F196" t="s">
        <v>35</v>
      </c>
      <c r="G196">
        <v>2015</v>
      </c>
      <c r="H196" t="s">
        <v>25</v>
      </c>
      <c r="I196" s="2">
        <v>44111</v>
      </c>
      <c r="J196" t="str">
        <f t="shared" si="18"/>
        <v>Short</v>
      </c>
      <c r="K196" t="str" cm="1">
        <f t="array" ref="K196">_xlfn.IFS(E196&lt;4, "Poor", E196&lt;7, "Average", E196&lt;9, "Good", TRUE, "Excellent")</f>
        <v>Average</v>
      </c>
      <c r="L196" t="str">
        <f t="shared" si="19"/>
        <v>M1194 - Movie_194</v>
      </c>
      <c r="M196" t="str">
        <f t="shared" si="20"/>
        <v>Eng</v>
      </c>
      <c r="N196" t="str">
        <f t="shared" si="21"/>
        <v>15</v>
      </c>
      <c r="O196">
        <f t="shared" si="22"/>
        <v>9</v>
      </c>
      <c r="P196" t="str">
        <f t="shared" si="23"/>
        <v>Thriller</v>
      </c>
    </row>
    <row r="197" spans="1:16">
      <c r="A197" t="s">
        <v>424</v>
      </c>
      <c r="B197" t="s">
        <v>425</v>
      </c>
      <c r="C197" t="s">
        <v>23</v>
      </c>
      <c r="D197">
        <v>176</v>
      </c>
      <c r="E197">
        <v>1.9</v>
      </c>
      <c r="F197" t="s">
        <v>24</v>
      </c>
      <c r="G197">
        <v>2000</v>
      </c>
      <c r="H197" t="s">
        <v>20</v>
      </c>
      <c r="I197" s="2">
        <v>44614</v>
      </c>
      <c r="J197" t="str">
        <f t="shared" si="18"/>
        <v>Long</v>
      </c>
      <c r="K197" t="str" cm="1">
        <f t="array" ref="K197">_xlfn.IFS(E197&lt;4, "Poor", E197&lt;7, "Average", E197&lt;9, "Good", TRUE, "Excellent")</f>
        <v>Poor</v>
      </c>
      <c r="L197" t="str">
        <f t="shared" si="19"/>
        <v>M1195 - Movie_195</v>
      </c>
      <c r="M197" t="str">
        <f t="shared" si="20"/>
        <v>Hin</v>
      </c>
      <c r="N197" t="str">
        <f t="shared" si="21"/>
        <v>00</v>
      </c>
      <c r="O197">
        <f t="shared" si="22"/>
        <v>9</v>
      </c>
      <c r="P197" t="str">
        <f t="shared" si="23"/>
        <v>Action</v>
      </c>
    </row>
    <row r="198" spans="1:16">
      <c r="A198" t="s">
        <v>426</v>
      </c>
      <c r="B198" t="s">
        <v>427</v>
      </c>
      <c r="C198" t="s">
        <v>23</v>
      </c>
      <c r="D198">
        <v>143</v>
      </c>
      <c r="E198">
        <v>9</v>
      </c>
      <c r="F198" t="s">
        <v>31</v>
      </c>
      <c r="G198">
        <v>2022</v>
      </c>
      <c r="H198" t="s">
        <v>20</v>
      </c>
      <c r="I198" s="2">
        <v>45415</v>
      </c>
      <c r="J198" t="str">
        <f t="shared" si="18"/>
        <v>Long</v>
      </c>
      <c r="K198" t="str" cm="1">
        <f t="array" ref="K198">_xlfn.IFS(E198&lt;4, "Poor", E198&lt;7, "Average", E198&lt;9, "Good", TRUE, "Excellent")</f>
        <v>Excellent</v>
      </c>
      <c r="L198" t="str">
        <f t="shared" si="19"/>
        <v>M1196 - Movie_196</v>
      </c>
      <c r="M198" t="str">
        <f t="shared" si="20"/>
        <v>Fre</v>
      </c>
      <c r="N198" t="str">
        <f t="shared" si="21"/>
        <v>22</v>
      </c>
      <c r="O198">
        <f t="shared" si="22"/>
        <v>9</v>
      </c>
      <c r="P198" t="str">
        <f t="shared" si="23"/>
        <v>Action</v>
      </c>
    </row>
    <row r="199" spans="1:16">
      <c r="A199" t="s">
        <v>428</v>
      </c>
      <c r="B199" t="s">
        <v>429</v>
      </c>
      <c r="C199" t="s">
        <v>34</v>
      </c>
      <c r="D199">
        <v>146</v>
      </c>
      <c r="E199">
        <v>2.2000000000000002</v>
      </c>
      <c r="F199" t="s">
        <v>35</v>
      </c>
      <c r="G199">
        <v>2010</v>
      </c>
      <c r="H199" t="s">
        <v>25</v>
      </c>
      <c r="I199" s="2">
        <v>45496</v>
      </c>
      <c r="J199" t="str">
        <f t="shared" si="18"/>
        <v>Long</v>
      </c>
      <c r="K199" t="str" cm="1">
        <f t="array" ref="K199">_xlfn.IFS(E199&lt;4, "Poor", E199&lt;7, "Average", E199&lt;9, "Good", TRUE, "Excellent")</f>
        <v>Poor</v>
      </c>
      <c r="L199" t="str">
        <f t="shared" si="19"/>
        <v>M1197 - Movie_197</v>
      </c>
      <c r="M199" t="str">
        <f t="shared" si="20"/>
        <v>Eng</v>
      </c>
      <c r="N199" t="str">
        <f t="shared" si="21"/>
        <v>10</v>
      </c>
      <c r="O199">
        <f t="shared" si="22"/>
        <v>9</v>
      </c>
      <c r="P199" t="str">
        <f t="shared" si="23"/>
        <v>Drama</v>
      </c>
    </row>
    <row r="200" spans="1:16">
      <c r="A200" t="s">
        <v>430</v>
      </c>
      <c r="B200" t="s">
        <v>431</v>
      </c>
      <c r="C200" t="s">
        <v>34</v>
      </c>
      <c r="D200">
        <v>157</v>
      </c>
      <c r="E200">
        <v>5.0999999999999996</v>
      </c>
      <c r="F200" t="s">
        <v>24</v>
      </c>
      <c r="G200">
        <v>2013</v>
      </c>
      <c r="H200" t="s">
        <v>20</v>
      </c>
      <c r="I200" s="2">
        <v>45373</v>
      </c>
      <c r="J200" t="str">
        <f t="shared" si="18"/>
        <v>Long</v>
      </c>
      <c r="K200" t="str" cm="1">
        <f t="array" ref="K200">_xlfn.IFS(E200&lt;4, "Poor", E200&lt;7, "Average", E200&lt;9, "Good", TRUE, "Excellent")</f>
        <v>Average</v>
      </c>
      <c r="L200" t="str">
        <f t="shared" si="19"/>
        <v>M1198 - Movie_198</v>
      </c>
      <c r="M200" t="str">
        <f t="shared" si="20"/>
        <v>Hin</v>
      </c>
      <c r="N200" t="str">
        <f t="shared" si="21"/>
        <v>13</v>
      </c>
      <c r="O200">
        <f t="shared" si="22"/>
        <v>9</v>
      </c>
      <c r="P200" t="str">
        <f t="shared" si="23"/>
        <v>Drama</v>
      </c>
    </row>
    <row r="201" spans="1:16">
      <c r="A201" t="s">
        <v>432</v>
      </c>
      <c r="B201" t="s">
        <v>433</v>
      </c>
      <c r="C201" t="s">
        <v>40</v>
      </c>
      <c r="D201">
        <v>131</v>
      </c>
      <c r="E201">
        <v>7</v>
      </c>
      <c r="F201" t="s">
        <v>24</v>
      </c>
      <c r="G201">
        <v>2004</v>
      </c>
      <c r="H201" t="s">
        <v>20</v>
      </c>
      <c r="I201" s="2">
        <v>44103</v>
      </c>
      <c r="J201" t="str">
        <f t="shared" si="18"/>
        <v>Long</v>
      </c>
      <c r="K201" t="str" cm="1">
        <f t="array" ref="K201">_xlfn.IFS(E201&lt;4, "Poor", E201&lt;7, "Average", E201&lt;9, "Good", TRUE, "Excellent")</f>
        <v>Good</v>
      </c>
      <c r="L201" t="str">
        <f t="shared" si="19"/>
        <v>M1199 - Movie_199</v>
      </c>
      <c r="M201" t="str">
        <f t="shared" si="20"/>
        <v>Hin</v>
      </c>
      <c r="N201" t="str">
        <f t="shared" si="21"/>
        <v>04</v>
      </c>
      <c r="O201">
        <f t="shared" si="22"/>
        <v>9</v>
      </c>
      <c r="P201" t="str">
        <f t="shared" si="23"/>
        <v>Comedy</v>
      </c>
    </row>
    <row r="202" spans="1:16">
      <c r="A202" t="s">
        <v>434</v>
      </c>
      <c r="B202" t="s">
        <v>435</v>
      </c>
      <c r="C202" t="s">
        <v>23</v>
      </c>
      <c r="D202">
        <v>167</v>
      </c>
      <c r="E202">
        <v>7.7</v>
      </c>
      <c r="F202" t="s">
        <v>24</v>
      </c>
      <c r="G202">
        <v>2000</v>
      </c>
      <c r="H202" t="s">
        <v>25</v>
      </c>
      <c r="I202" s="2">
        <v>45144</v>
      </c>
      <c r="J202" t="str">
        <f t="shared" si="18"/>
        <v>Long</v>
      </c>
      <c r="K202" t="str" cm="1">
        <f t="array" ref="K202">_xlfn.IFS(E202&lt;4, "Poor", E202&lt;7, "Average", E202&lt;9, "Good", TRUE, "Excellent")</f>
        <v>Good</v>
      </c>
      <c r="L202" t="str">
        <f t="shared" si="19"/>
        <v>M1200 - Movie_200</v>
      </c>
      <c r="M202" t="str">
        <f t="shared" si="20"/>
        <v>Hin</v>
      </c>
      <c r="N202" t="str">
        <f t="shared" si="21"/>
        <v>00</v>
      </c>
      <c r="O202">
        <f t="shared" si="22"/>
        <v>9</v>
      </c>
      <c r="P202" t="str">
        <f t="shared" si="23"/>
        <v>Action</v>
      </c>
    </row>
    <row r="203" spans="1:16">
      <c r="A203" t="s">
        <v>436</v>
      </c>
      <c r="B203" t="s">
        <v>437</v>
      </c>
      <c r="C203" t="s">
        <v>40</v>
      </c>
      <c r="D203">
        <v>124</v>
      </c>
      <c r="E203">
        <v>9.5</v>
      </c>
      <c r="F203" t="s">
        <v>24</v>
      </c>
      <c r="G203">
        <v>1991</v>
      </c>
      <c r="H203" t="s">
        <v>20</v>
      </c>
      <c r="I203" s="2">
        <v>45217</v>
      </c>
      <c r="J203" t="str">
        <f t="shared" si="18"/>
        <v>Long</v>
      </c>
      <c r="K203" t="str" cm="1">
        <f t="array" ref="K203">_xlfn.IFS(E203&lt;4, "Poor", E203&lt;7, "Average", E203&lt;9, "Good", TRUE, "Excellent")</f>
        <v>Excellent</v>
      </c>
      <c r="L203" t="str">
        <f t="shared" si="19"/>
        <v>M1201 - Movie_201</v>
      </c>
      <c r="M203" t="str">
        <f t="shared" si="20"/>
        <v>Hin</v>
      </c>
      <c r="N203" t="str">
        <f t="shared" si="21"/>
        <v>91</v>
      </c>
      <c r="O203">
        <f t="shared" si="22"/>
        <v>9</v>
      </c>
      <c r="P203" t="str">
        <f t="shared" si="23"/>
        <v>Comedy</v>
      </c>
    </row>
    <row r="204" spans="1:16">
      <c r="A204" t="s">
        <v>438</v>
      </c>
      <c r="B204" t="s">
        <v>439</v>
      </c>
      <c r="C204" t="s">
        <v>58</v>
      </c>
      <c r="D204">
        <v>80</v>
      </c>
      <c r="E204">
        <v>4.8</v>
      </c>
      <c r="F204" t="s">
        <v>24</v>
      </c>
      <c r="G204">
        <v>2009</v>
      </c>
      <c r="H204" t="s">
        <v>20</v>
      </c>
      <c r="I204" s="2">
        <v>44123</v>
      </c>
      <c r="J204" t="str">
        <f t="shared" si="18"/>
        <v>Short</v>
      </c>
      <c r="K204" t="str" cm="1">
        <f t="array" ref="K204">_xlfn.IFS(E204&lt;4, "Poor", E204&lt;7, "Average", E204&lt;9, "Good", TRUE, "Excellent")</f>
        <v>Average</v>
      </c>
      <c r="L204" t="str">
        <f t="shared" si="19"/>
        <v>M1202 - Movie_202</v>
      </c>
      <c r="M204" t="str">
        <f t="shared" si="20"/>
        <v>Hin</v>
      </c>
      <c r="N204" t="str">
        <f t="shared" si="21"/>
        <v>09</v>
      </c>
      <c r="O204">
        <f t="shared" si="22"/>
        <v>9</v>
      </c>
      <c r="P204" t="str">
        <f t="shared" si="23"/>
        <v>Sci-Fi</v>
      </c>
    </row>
    <row r="205" spans="1:16">
      <c r="A205" t="s">
        <v>440</v>
      </c>
      <c r="B205" t="s">
        <v>441</v>
      </c>
      <c r="C205" t="s">
        <v>23</v>
      </c>
      <c r="D205">
        <v>180</v>
      </c>
      <c r="E205">
        <v>7.7</v>
      </c>
      <c r="F205" t="s">
        <v>35</v>
      </c>
      <c r="G205">
        <v>2014</v>
      </c>
      <c r="H205" t="s">
        <v>20</v>
      </c>
      <c r="I205" s="2">
        <v>43971</v>
      </c>
      <c r="J205" t="str">
        <f t="shared" si="18"/>
        <v>Long</v>
      </c>
      <c r="K205" t="str" cm="1">
        <f t="array" ref="K205">_xlfn.IFS(E205&lt;4, "Poor", E205&lt;7, "Average", E205&lt;9, "Good", TRUE, "Excellent")</f>
        <v>Good</v>
      </c>
      <c r="L205" t="str">
        <f t="shared" si="19"/>
        <v>M1203 - Movie_203</v>
      </c>
      <c r="M205" t="str">
        <f t="shared" si="20"/>
        <v>Eng</v>
      </c>
      <c r="N205" t="str">
        <f t="shared" si="21"/>
        <v>14</v>
      </c>
      <c r="O205">
        <f t="shared" si="22"/>
        <v>9</v>
      </c>
      <c r="P205" t="str">
        <f t="shared" si="23"/>
        <v>Action</v>
      </c>
    </row>
    <row r="206" spans="1:16">
      <c r="A206" t="s">
        <v>442</v>
      </c>
      <c r="B206" t="s">
        <v>443</v>
      </c>
      <c r="C206" t="s">
        <v>23</v>
      </c>
      <c r="D206">
        <v>64</v>
      </c>
      <c r="E206">
        <v>2.4</v>
      </c>
      <c r="F206" t="s">
        <v>61</v>
      </c>
      <c r="G206">
        <v>2001</v>
      </c>
      <c r="H206" t="s">
        <v>25</v>
      </c>
      <c r="I206" s="2">
        <v>44917</v>
      </c>
      <c r="J206" t="str">
        <f t="shared" si="18"/>
        <v>Short</v>
      </c>
      <c r="K206" t="str" cm="1">
        <f t="array" ref="K206">_xlfn.IFS(E206&lt;4, "Poor", E206&lt;7, "Average", E206&lt;9, "Good", TRUE, "Excellent")</f>
        <v>Poor</v>
      </c>
      <c r="L206" t="str">
        <f t="shared" si="19"/>
        <v>M1204 - Movie_204</v>
      </c>
      <c r="M206" t="str">
        <f t="shared" si="20"/>
        <v>Ger</v>
      </c>
      <c r="N206" t="str">
        <f t="shared" si="21"/>
        <v>01</v>
      </c>
      <c r="O206">
        <f t="shared" si="22"/>
        <v>9</v>
      </c>
      <c r="P206" t="str">
        <f t="shared" si="23"/>
        <v>Action</v>
      </c>
    </row>
    <row r="207" spans="1:16">
      <c r="A207" t="s">
        <v>444</v>
      </c>
      <c r="B207" t="s">
        <v>445</v>
      </c>
      <c r="C207" t="s">
        <v>18</v>
      </c>
      <c r="D207">
        <v>198</v>
      </c>
      <c r="E207">
        <v>4.7</v>
      </c>
      <c r="F207" t="s">
        <v>61</v>
      </c>
      <c r="G207">
        <v>2014</v>
      </c>
      <c r="H207" t="s">
        <v>20</v>
      </c>
      <c r="I207" s="2">
        <v>44984</v>
      </c>
      <c r="J207" t="str">
        <f t="shared" si="18"/>
        <v>Long</v>
      </c>
      <c r="K207" t="str" cm="1">
        <f t="array" ref="K207">_xlfn.IFS(E207&lt;4, "Poor", E207&lt;7, "Average", E207&lt;9, "Good", TRUE, "Excellent")</f>
        <v>Average</v>
      </c>
      <c r="L207" t="str">
        <f t="shared" si="19"/>
        <v>M1205 - Movie_205</v>
      </c>
      <c r="M207" t="str">
        <f t="shared" si="20"/>
        <v>Ger</v>
      </c>
      <c r="N207" t="str">
        <f t="shared" si="21"/>
        <v>14</v>
      </c>
      <c r="O207">
        <f t="shared" si="22"/>
        <v>9</v>
      </c>
      <c r="P207" t="str">
        <f t="shared" si="23"/>
        <v>Horror</v>
      </c>
    </row>
    <row r="208" spans="1:16">
      <c r="A208" t="s">
        <v>446</v>
      </c>
      <c r="B208" t="s">
        <v>447</v>
      </c>
      <c r="C208" t="s">
        <v>67</v>
      </c>
      <c r="D208">
        <v>73</v>
      </c>
      <c r="E208">
        <v>1.9</v>
      </c>
      <c r="F208" t="s">
        <v>35</v>
      </c>
      <c r="G208">
        <v>2002</v>
      </c>
      <c r="H208" t="s">
        <v>25</v>
      </c>
      <c r="I208" s="2">
        <v>43848</v>
      </c>
      <c r="J208" t="str">
        <f t="shared" si="18"/>
        <v>Short</v>
      </c>
      <c r="K208" t="str" cm="1">
        <f t="array" ref="K208">_xlfn.IFS(E208&lt;4, "Poor", E208&lt;7, "Average", E208&lt;9, "Good", TRUE, "Excellent")</f>
        <v>Poor</v>
      </c>
      <c r="L208" t="str">
        <f t="shared" si="19"/>
        <v>M1206 - Movie_206</v>
      </c>
      <c r="M208" t="str">
        <f t="shared" si="20"/>
        <v>Eng</v>
      </c>
      <c r="N208" t="str">
        <f t="shared" si="21"/>
        <v>02</v>
      </c>
      <c r="O208">
        <f t="shared" si="22"/>
        <v>9</v>
      </c>
      <c r="P208" t="str">
        <f t="shared" si="23"/>
        <v>Thriller</v>
      </c>
    </row>
    <row r="209" spans="1:16">
      <c r="A209" t="s">
        <v>448</v>
      </c>
      <c r="B209" t="s">
        <v>449</v>
      </c>
      <c r="C209" t="s">
        <v>23</v>
      </c>
      <c r="D209">
        <v>149</v>
      </c>
      <c r="E209">
        <v>5.4</v>
      </c>
      <c r="F209" t="s">
        <v>19</v>
      </c>
      <c r="G209">
        <v>2023</v>
      </c>
      <c r="H209" t="s">
        <v>20</v>
      </c>
      <c r="I209" s="2">
        <v>45080</v>
      </c>
      <c r="J209" t="str">
        <f t="shared" si="18"/>
        <v>Long</v>
      </c>
      <c r="K209" t="str" cm="1">
        <f t="array" ref="K209">_xlfn.IFS(E209&lt;4, "Poor", E209&lt;7, "Average", E209&lt;9, "Good", TRUE, "Excellent")</f>
        <v>Average</v>
      </c>
      <c r="L209" t="str">
        <f t="shared" si="19"/>
        <v>M1207 - Movie_207</v>
      </c>
      <c r="M209" t="str">
        <f t="shared" si="20"/>
        <v>Jap</v>
      </c>
      <c r="N209" t="str">
        <f t="shared" si="21"/>
        <v>23</v>
      </c>
      <c r="O209">
        <f t="shared" si="22"/>
        <v>9</v>
      </c>
      <c r="P209" t="str">
        <f t="shared" si="23"/>
        <v>Action</v>
      </c>
    </row>
    <row r="210" spans="1:16">
      <c r="A210" t="s">
        <v>450</v>
      </c>
      <c r="B210" t="s">
        <v>451</v>
      </c>
      <c r="C210" t="s">
        <v>58</v>
      </c>
      <c r="D210">
        <v>117</v>
      </c>
      <c r="E210">
        <v>4.7</v>
      </c>
      <c r="F210" t="s">
        <v>61</v>
      </c>
      <c r="G210">
        <v>2023</v>
      </c>
      <c r="H210" t="s">
        <v>20</v>
      </c>
      <c r="I210" s="2">
        <v>45162</v>
      </c>
      <c r="J210" t="str">
        <f t="shared" si="18"/>
        <v>Short</v>
      </c>
      <c r="K210" t="str" cm="1">
        <f t="array" ref="K210">_xlfn.IFS(E210&lt;4, "Poor", E210&lt;7, "Average", E210&lt;9, "Good", TRUE, "Excellent")</f>
        <v>Average</v>
      </c>
      <c r="L210" t="str">
        <f t="shared" si="19"/>
        <v>M1208 - Movie_208</v>
      </c>
      <c r="M210" t="str">
        <f t="shared" si="20"/>
        <v>Ger</v>
      </c>
      <c r="N210" t="str">
        <f t="shared" si="21"/>
        <v>23</v>
      </c>
      <c r="O210">
        <f t="shared" si="22"/>
        <v>9</v>
      </c>
      <c r="P210" t="str">
        <f t="shared" si="23"/>
        <v>Sci-Fi</v>
      </c>
    </row>
    <row r="211" spans="1:16">
      <c r="A211" t="s">
        <v>452</v>
      </c>
      <c r="B211" t="s">
        <v>453</v>
      </c>
      <c r="C211" t="s">
        <v>40</v>
      </c>
      <c r="D211">
        <v>77</v>
      </c>
      <c r="E211">
        <v>9.6</v>
      </c>
      <c r="F211" t="s">
        <v>31</v>
      </c>
      <c r="G211">
        <v>2021</v>
      </c>
      <c r="H211" t="s">
        <v>25</v>
      </c>
      <c r="I211" s="2">
        <v>44167</v>
      </c>
      <c r="J211" t="str">
        <f t="shared" si="18"/>
        <v>Short</v>
      </c>
      <c r="K211" t="str" cm="1">
        <f t="array" ref="K211">_xlfn.IFS(E211&lt;4, "Poor", E211&lt;7, "Average", E211&lt;9, "Good", TRUE, "Excellent")</f>
        <v>Excellent</v>
      </c>
      <c r="L211" t="str">
        <f t="shared" si="19"/>
        <v>M1209 - Movie_209</v>
      </c>
      <c r="M211" t="str">
        <f t="shared" si="20"/>
        <v>Fre</v>
      </c>
      <c r="N211" t="str">
        <f t="shared" si="21"/>
        <v>21</v>
      </c>
      <c r="O211">
        <f t="shared" si="22"/>
        <v>9</v>
      </c>
      <c r="P211" t="str">
        <f t="shared" si="23"/>
        <v>Comedy</v>
      </c>
    </row>
    <row r="212" spans="1:16">
      <c r="A212" t="s">
        <v>454</v>
      </c>
      <c r="B212" t="s">
        <v>455</v>
      </c>
      <c r="C212" t="s">
        <v>40</v>
      </c>
      <c r="D212">
        <v>70</v>
      </c>
      <c r="E212">
        <v>1.3</v>
      </c>
      <c r="F212" t="s">
        <v>31</v>
      </c>
      <c r="G212">
        <v>2024</v>
      </c>
      <c r="H212" t="s">
        <v>25</v>
      </c>
      <c r="I212" s="2">
        <v>44732</v>
      </c>
      <c r="J212" t="str">
        <f t="shared" si="18"/>
        <v>Short</v>
      </c>
      <c r="K212" t="str" cm="1">
        <f t="array" ref="K212">_xlfn.IFS(E212&lt;4, "Poor", E212&lt;7, "Average", E212&lt;9, "Good", TRUE, "Excellent")</f>
        <v>Poor</v>
      </c>
      <c r="L212" t="str">
        <f t="shared" si="19"/>
        <v>M1210 - Movie_210</v>
      </c>
      <c r="M212" t="str">
        <f t="shared" si="20"/>
        <v>Fre</v>
      </c>
      <c r="N212" t="str">
        <f t="shared" si="21"/>
        <v>24</v>
      </c>
      <c r="O212">
        <f t="shared" si="22"/>
        <v>9</v>
      </c>
      <c r="P212" t="str">
        <f t="shared" si="23"/>
        <v>Comedy</v>
      </c>
    </row>
    <row r="213" spans="1:16">
      <c r="A213" t="s">
        <v>456</v>
      </c>
      <c r="B213" t="s">
        <v>457</v>
      </c>
      <c r="C213" t="s">
        <v>18</v>
      </c>
      <c r="D213">
        <v>67</v>
      </c>
      <c r="E213">
        <v>4.3</v>
      </c>
      <c r="F213" t="s">
        <v>19</v>
      </c>
      <c r="G213">
        <v>1996</v>
      </c>
      <c r="H213" t="s">
        <v>25</v>
      </c>
      <c r="I213" s="2">
        <v>44550</v>
      </c>
      <c r="J213" t="str">
        <f t="shared" si="18"/>
        <v>Short</v>
      </c>
      <c r="K213" t="str" cm="1">
        <f t="array" ref="K213">_xlfn.IFS(E213&lt;4, "Poor", E213&lt;7, "Average", E213&lt;9, "Good", TRUE, "Excellent")</f>
        <v>Average</v>
      </c>
      <c r="L213" t="str">
        <f t="shared" si="19"/>
        <v>M1211 - Movie_211</v>
      </c>
      <c r="M213" t="str">
        <f t="shared" si="20"/>
        <v>Jap</v>
      </c>
      <c r="N213" t="str">
        <f t="shared" si="21"/>
        <v>96</v>
      </c>
      <c r="O213">
        <f t="shared" si="22"/>
        <v>9</v>
      </c>
      <c r="P213" t="str">
        <f t="shared" si="23"/>
        <v>Horror</v>
      </c>
    </row>
    <row r="214" spans="1:16">
      <c r="A214" t="s">
        <v>458</v>
      </c>
      <c r="B214" t="s">
        <v>459</v>
      </c>
      <c r="C214" t="s">
        <v>67</v>
      </c>
      <c r="D214">
        <v>123</v>
      </c>
      <c r="E214">
        <v>5</v>
      </c>
      <c r="F214" t="s">
        <v>35</v>
      </c>
      <c r="G214">
        <v>2019</v>
      </c>
      <c r="H214" t="s">
        <v>20</v>
      </c>
      <c r="I214" s="2">
        <v>45310</v>
      </c>
      <c r="J214" t="str">
        <f t="shared" si="18"/>
        <v>Long</v>
      </c>
      <c r="K214" t="str" cm="1">
        <f t="array" ref="K214">_xlfn.IFS(E214&lt;4, "Poor", E214&lt;7, "Average", E214&lt;9, "Good", TRUE, "Excellent")</f>
        <v>Average</v>
      </c>
      <c r="L214" t="str">
        <f t="shared" si="19"/>
        <v>M1212 - Movie_212</v>
      </c>
      <c r="M214" t="str">
        <f t="shared" si="20"/>
        <v>Eng</v>
      </c>
      <c r="N214" t="str">
        <f t="shared" si="21"/>
        <v>19</v>
      </c>
      <c r="O214">
        <f t="shared" si="22"/>
        <v>9</v>
      </c>
      <c r="P214" t="str">
        <f t="shared" si="23"/>
        <v>Thriller</v>
      </c>
    </row>
    <row r="215" spans="1:16">
      <c r="A215" t="s">
        <v>460</v>
      </c>
      <c r="B215" t="s">
        <v>461</v>
      </c>
      <c r="C215" t="s">
        <v>58</v>
      </c>
      <c r="D215">
        <v>111</v>
      </c>
      <c r="E215">
        <v>9.6</v>
      </c>
      <c r="F215" t="s">
        <v>31</v>
      </c>
      <c r="G215">
        <v>2010</v>
      </c>
      <c r="H215" t="s">
        <v>20</v>
      </c>
      <c r="I215" s="2">
        <v>44267</v>
      </c>
      <c r="J215" t="str">
        <f t="shared" si="18"/>
        <v>Short</v>
      </c>
      <c r="K215" t="str" cm="1">
        <f t="array" ref="K215">_xlfn.IFS(E215&lt;4, "Poor", E215&lt;7, "Average", E215&lt;9, "Good", TRUE, "Excellent")</f>
        <v>Excellent</v>
      </c>
      <c r="L215" t="str">
        <f t="shared" si="19"/>
        <v>M1213 - Movie_213</v>
      </c>
      <c r="M215" t="str">
        <f t="shared" si="20"/>
        <v>Fre</v>
      </c>
      <c r="N215" t="str">
        <f t="shared" si="21"/>
        <v>10</v>
      </c>
      <c r="O215">
        <f t="shared" si="22"/>
        <v>9</v>
      </c>
      <c r="P215" t="str">
        <f t="shared" si="23"/>
        <v>Sci-Fi</v>
      </c>
    </row>
    <row r="216" spans="1:16">
      <c r="A216" t="s">
        <v>462</v>
      </c>
      <c r="B216" t="s">
        <v>463</v>
      </c>
      <c r="C216" t="s">
        <v>40</v>
      </c>
      <c r="D216">
        <v>65</v>
      </c>
      <c r="E216">
        <v>8.6999999999999993</v>
      </c>
      <c r="F216" t="s">
        <v>35</v>
      </c>
      <c r="G216">
        <v>1992</v>
      </c>
      <c r="H216" t="s">
        <v>25</v>
      </c>
      <c r="I216" s="2">
        <v>45117</v>
      </c>
      <c r="J216" t="str">
        <f t="shared" si="18"/>
        <v>Short</v>
      </c>
      <c r="K216" t="str" cm="1">
        <f t="array" ref="K216">_xlfn.IFS(E216&lt;4, "Poor", E216&lt;7, "Average", E216&lt;9, "Good", TRUE, "Excellent")</f>
        <v>Good</v>
      </c>
      <c r="L216" t="str">
        <f t="shared" si="19"/>
        <v>M1214 - Movie_214</v>
      </c>
      <c r="M216" t="str">
        <f t="shared" si="20"/>
        <v>Eng</v>
      </c>
      <c r="N216" t="str">
        <f t="shared" si="21"/>
        <v>92</v>
      </c>
      <c r="O216">
        <f t="shared" si="22"/>
        <v>9</v>
      </c>
      <c r="P216" t="str">
        <f t="shared" si="23"/>
        <v>Comedy</v>
      </c>
    </row>
    <row r="217" spans="1:16">
      <c r="A217" t="s">
        <v>464</v>
      </c>
      <c r="B217" t="s">
        <v>465</v>
      </c>
      <c r="C217" t="s">
        <v>34</v>
      </c>
      <c r="D217">
        <v>99</v>
      </c>
      <c r="E217">
        <v>1.9</v>
      </c>
      <c r="F217" t="s">
        <v>31</v>
      </c>
      <c r="G217">
        <v>1995</v>
      </c>
      <c r="H217" t="s">
        <v>20</v>
      </c>
      <c r="I217" s="2">
        <v>45363</v>
      </c>
      <c r="J217" t="str">
        <f t="shared" si="18"/>
        <v>Short</v>
      </c>
      <c r="K217" t="str" cm="1">
        <f t="array" ref="K217">_xlfn.IFS(E217&lt;4, "Poor", E217&lt;7, "Average", E217&lt;9, "Good", TRUE, "Excellent")</f>
        <v>Poor</v>
      </c>
      <c r="L217" t="str">
        <f t="shared" si="19"/>
        <v>M1215 - Movie_215</v>
      </c>
      <c r="M217" t="str">
        <f t="shared" si="20"/>
        <v>Fre</v>
      </c>
      <c r="N217" t="str">
        <f t="shared" si="21"/>
        <v>95</v>
      </c>
      <c r="O217">
        <f t="shared" si="22"/>
        <v>9</v>
      </c>
      <c r="P217" t="str">
        <f t="shared" si="23"/>
        <v>Drama</v>
      </c>
    </row>
    <row r="218" spans="1:16">
      <c r="A218" t="s">
        <v>466</v>
      </c>
      <c r="B218" t="s">
        <v>467</v>
      </c>
      <c r="C218" t="s">
        <v>58</v>
      </c>
      <c r="D218">
        <v>121</v>
      </c>
      <c r="E218">
        <v>7.2</v>
      </c>
      <c r="F218" t="s">
        <v>28</v>
      </c>
      <c r="G218">
        <v>1997</v>
      </c>
      <c r="H218" t="s">
        <v>20</v>
      </c>
      <c r="I218" s="2">
        <v>44141</v>
      </c>
      <c r="J218" t="str">
        <f t="shared" si="18"/>
        <v>Long</v>
      </c>
      <c r="K218" t="str" cm="1">
        <f t="array" ref="K218">_xlfn.IFS(E218&lt;4, "Poor", E218&lt;7, "Average", E218&lt;9, "Good", TRUE, "Excellent")</f>
        <v>Good</v>
      </c>
      <c r="L218" t="str">
        <f t="shared" si="19"/>
        <v>M1216 - Movie_216</v>
      </c>
      <c r="M218" t="str">
        <f t="shared" si="20"/>
        <v>Spa</v>
      </c>
      <c r="N218" t="str">
        <f t="shared" si="21"/>
        <v>97</v>
      </c>
      <c r="O218">
        <f t="shared" si="22"/>
        <v>9</v>
      </c>
      <c r="P218" t="str">
        <f t="shared" si="23"/>
        <v>Sci-Fi</v>
      </c>
    </row>
    <row r="219" spans="1:16">
      <c r="A219" t="s">
        <v>468</v>
      </c>
      <c r="B219" t="s">
        <v>469</v>
      </c>
      <c r="C219" t="s">
        <v>58</v>
      </c>
      <c r="D219">
        <v>92</v>
      </c>
      <c r="E219">
        <v>5.9</v>
      </c>
      <c r="F219" t="s">
        <v>19</v>
      </c>
      <c r="G219">
        <v>2015</v>
      </c>
      <c r="H219" t="s">
        <v>25</v>
      </c>
      <c r="I219" s="2">
        <v>44674</v>
      </c>
      <c r="J219" t="str">
        <f t="shared" si="18"/>
        <v>Short</v>
      </c>
      <c r="K219" t="str" cm="1">
        <f t="array" ref="K219">_xlfn.IFS(E219&lt;4, "Poor", E219&lt;7, "Average", E219&lt;9, "Good", TRUE, "Excellent")</f>
        <v>Average</v>
      </c>
      <c r="L219" t="str">
        <f t="shared" si="19"/>
        <v>M1217 - Movie_217</v>
      </c>
      <c r="M219" t="str">
        <f t="shared" si="20"/>
        <v>Jap</v>
      </c>
      <c r="N219" t="str">
        <f t="shared" si="21"/>
        <v>15</v>
      </c>
      <c r="O219">
        <f t="shared" si="22"/>
        <v>9</v>
      </c>
      <c r="P219" t="str">
        <f t="shared" si="23"/>
        <v>Sci-Fi</v>
      </c>
    </row>
    <row r="220" spans="1:16">
      <c r="A220" t="s">
        <v>470</v>
      </c>
      <c r="B220" t="s">
        <v>471</v>
      </c>
      <c r="C220" t="s">
        <v>67</v>
      </c>
      <c r="D220">
        <v>181</v>
      </c>
      <c r="E220">
        <v>9.8000000000000007</v>
      </c>
      <c r="F220" t="s">
        <v>19</v>
      </c>
      <c r="G220">
        <v>1999</v>
      </c>
      <c r="H220" t="s">
        <v>20</v>
      </c>
      <c r="I220" s="2">
        <v>45092</v>
      </c>
      <c r="J220" t="str">
        <f t="shared" si="18"/>
        <v>Long</v>
      </c>
      <c r="K220" t="str" cm="1">
        <f t="array" ref="K220">_xlfn.IFS(E220&lt;4, "Poor", E220&lt;7, "Average", E220&lt;9, "Good", TRUE, "Excellent")</f>
        <v>Excellent</v>
      </c>
      <c r="L220" t="str">
        <f t="shared" si="19"/>
        <v>M1218 - Movie_218</v>
      </c>
      <c r="M220" t="str">
        <f t="shared" si="20"/>
        <v>Jap</v>
      </c>
      <c r="N220" t="str">
        <f t="shared" si="21"/>
        <v>99</v>
      </c>
      <c r="O220">
        <f t="shared" si="22"/>
        <v>9</v>
      </c>
      <c r="P220" t="str">
        <f t="shared" si="23"/>
        <v>Thriller</v>
      </c>
    </row>
    <row r="221" spans="1:16">
      <c r="A221" t="s">
        <v>472</v>
      </c>
      <c r="B221" t="s">
        <v>473</v>
      </c>
      <c r="C221" t="s">
        <v>40</v>
      </c>
      <c r="D221">
        <v>89</v>
      </c>
      <c r="E221">
        <v>4.2</v>
      </c>
      <c r="F221" t="s">
        <v>19</v>
      </c>
      <c r="G221">
        <v>1994</v>
      </c>
      <c r="H221" t="s">
        <v>20</v>
      </c>
      <c r="I221" s="2">
        <v>45237</v>
      </c>
      <c r="J221" t="str">
        <f t="shared" si="18"/>
        <v>Short</v>
      </c>
      <c r="K221" t="str" cm="1">
        <f t="array" ref="K221">_xlfn.IFS(E221&lt;4, "Poor", E221&lt;7, "Average", E221&lt;9, "Good", TRUE, "Excellent")</f>
        <v>Average</v>
      </c>
      <c r="L221" t="str">
        <f t="shared" si="19"/>
        <v>M1219 - Movie_219</v>
      </c>
      <c r="M221" t="str">
        <f t="shared" si="20"/>
        <v>Jap</v>
      </c>
      <c r="N221" t="str">
        <f t="shared" si="21"/>
        <v>94</v>
      </c>
      <c r="O221">
        <f t="shared" si="22"/>
        <v>9</v>
      </c>
      <c r="P221" t="str">
        <f t="shared" si="23"/>
        <v>Comedy</v>
      </c>
    </row>
    <row r="222" spans="1:16">
      <c r="A222" t="s">
        <v>474</v>
      </c>
      <c r="B222" t="s">
        <v>475</v>
      </c>
      <c r="C222" t="s">
        <v>58</v>
      </c>
      <c r="D222">
        <v>115</v>
      </c>
      <c r="E222">
        <v>4.5999999999999996</v>
      </c>
      <c r="F222" t="s">
        <v>35</v>
      </c>
      <c r="G222">
        <v>1999</v>
      </c>
      <c r="H222" t="s">
        <v>25</v>
      </c>
      <c r="I222" s="2">
        <v>44737</v>
      </c>
      <c r="J222" t="str">
        <f t="shared" si="18"/>
        <v>Short</v>
      </c>
      <c r="K222" t="str" cm="1">
        <f t="array" ref="K222">_xlfn.IFS(E222&lt;4, "Poor", E222&lt;7, "Average", E222&lt;9, "Good", TRUE, "Excellent")</f>
        <v>Average</v>
      </c>
      <c r="L222" t="str">
        <f t="shared" si="19"/>
        <v>M1220 - Movie_220</v>
      </c>
      <c r="M222" t="str">
        <f t="shared" si="20"/>
        <v>Eng</v>
      </c>
      <c r="N222" t="str">
        <f t="shared" si="21"/>
        <v>99</v>
      </c>
      <c r="O222">
        <f t="shared" si="22"/>
        <v>9</v>
      </c>
      <c r="P222" t="str">
        <f t="shared" si="23"/>
        <v>Sci-Fi</v>
      </c>
    </row>
    <row r="223" spans="1:16">
      <c r="A223" t="s">
        <v>476</v>
      </c>
      <c r="B223" t="s">
        <v>477</v>
      </c>
      <c r="C223" t="s">
        <v>18</v>
      </c>
      <c r="D223">
        <v>179</v>
      </c>
      <c r="E223">
        <v>2.7</v>
      </c>
      <c r="F223" t="s">
        <v>24</v>
      </c>
      <c r="G223">
        <v>1998</v>
      </c>
      <c r="H223" t="s">
        <v>25</v>
      </c>
      <c r="I223" s="2">
        <v>44275</v>
      </c>
      <c r="J223" t="str">
        <f t="shared" si="18"/>
        <v>Long</v>
      </c>
      <c r="K223" t="str" cm="1">
        <f t="array" ref="K223">_xlfn.IFS(E223&lt;4, "Poor", E223&lt;7, "Average", E223&lt;9, "Good", TRUE, "Excellent")</f>
        <v>Poor</v>
      </c>
      <c r="L223" t="str">
        <f t="shared" si="19"/>
        <v>M1221 - Movie_221</v>
      </c>
      <c r="M223" t="str">
        <f t="shared" si="20"/>
        <v>Hin</v>
      </c>
      <c r="N223" t="str">
        <f t="shared" si="21"/>
        <v>98</v>
      </c>
      <c r="O223">
        <f t="shared" si="22"/>
        <v>9</v>
      </c>
      <c r="P223" t="str">
        <f t="shared" si="23"/>
        <v>Horror</v>
      </c>
    </row>
    <row r="224" spans="1:16">
      <c r="A224" t="s">
        <v>478</v>
      </c>
      <c r="B224" t="s">
        <v>479</v>
      </c>
      <c r="C224" t="s">
        <v>18</v>
      </c>
      <c r="D224">
        <v>125</v>
      </c>
      <c r="E224">
        <v>2.1</v>
      </c>
      <c r="F224" t="s">
        <v>19</v>
      </c>
      <c r="G224">
        <v>2025</v>
      </c>
      <c r="H224" t="s">
        <v>25</v>
      </c>
      <c r="I224" s="2">
        <v>44008</v>
      </c>
      <c r="J224" t="str">
        <f t="shared" si="18"/>
        <v>Long</v>
      </c>
      <c r="K224" t="str" cm="1">
        <f t="array" ref="K224">_xlfn.IFS(E224&lt;4, "Poor", E224&lt;7, "Average", E224&lt;9, "Good", TRUE, "Excellent")</f>
        <v>Poor</v>
      </c>
      <c r="L224" t="str">
        <f t="shared" si="19"/>
        <v>M1222 - Movie_222</v>
      </c>
      <c r="M224" t="str">
        <f t="shared" si="20"/>
        <v>Jap</v>
      </c>
      <c r="N224" t="str">
        <f t="shared" si="21"/>
        <v>25</v>
      </c>
      <c r="O224">
        <f t="shared" si="22"/>
        <v>9</v>
      </c>
      <c r="P224" t="str">
        <f t="shared" si="23"/>
        <v>Horror</v>
      </c>
    </row>
    <row r="225" spans="1:16">
      <c r="A225" t="s">
        <v>480</v>
      </c>
      <c r="B225" t="s">
        <v>481</v>
      </c>
      <c r="C225" t="s">
        <v>40</v>
      </c>
      <c r="D225">
        <v>154</v>
      </c>
      <c r="E225">
        <v>8.6</v>
      </c>
      <c r="F225" t="s">
        <v>31</v>
      </c>
      <c r="G225">
        <v>1993</v>
      </c>
      <c r="H225" t="s">
        <v>20</v>
      </c>
      <c r="I225" s="2">
        <v>44036</v>
      </c>
      <c r="J225" t="str">
        <f t="shared" si="18"/>
        <v>Long</v>
      </c>
      <c r="K225" t="str" cm="1">
        <f t="array" ref="K225">_xlfn.IFS(E225&lt;4, "Poor", E225&lt;7, "Average", E225&lt;9, "Good", TRUE, "Excellent")</f>
        <v>Good</v>
      </c>
      <c r="L225" t="str">
        <f t="shared" si="19"/>
        <v>M1223 - Movie_223</v>
      </c>
      <c r="M225" t="str">
        <f t="shared" si="20"/>
        <v>Fre</v>
      </c>
      <c r="N225" t="str">
        <f t="shared" si="21"/>
        <v>93</v>
      </c>
      <c r="O225">
        <f t="shared" si="22"/>
        <v>9</v>
      </c>
      <c r="P225" t="str">
        <f t="shared" si="23"/>
        <v>Comedy</v>
      </c>
    </row>
    <row r="226" spans="1:16">
      <c r="A226" t="s">
        <v>482</v>
      </c>
      <c r="B226" t="s">
        <v>483</v>
      </c>
      <c r="C226" t="s">
        <v>18</v>
      </c>
      <c r="D226">
        <v>102</v>
      </c>
      <c r="E226">
        <v>5.0999999999999996</v>
      </c>
      <c r="F226" t="s">
        <v>28</v>
      </c>
      <c r="G226">
        <v>2024</v>
      </c>
      <c r="H226" t="s">
        <v>25</v>
      </c>
      <c r="I226" s="2">
        <v>44117</v>
      </c>
      <c r="J226" t="str">
        <f t="shared" si="18"/>
        <v>Short</v>
      </c>
      <c r="K226" t="str" cm="1">
        <f t="array" ref="K226">_xlfn.IFS(E226&lt;4, "Poor", E226&lt;7, "Average", E226&lt;9, "Good", TRUE, "Excellent")</f>
        <v>Average</v>
      </c>
      <c r="L226" t="str">
        <f t="shared" si="19"/>
        <v>M1224 - Movie_224</v>
      </c>
      <c r="M226" t="str">
        <f t="shared" si="20"/>
        <v>Spa</v>
      </c>
      <c r="N226" t="str">
        <f t="shared" si="21"/>
        <v>24</v>
      </c>
      <c r="O226">
        <f t="shared" si="22"/>
        <v>9</v>
      </c>
      <c r="P226" t="str">
        <f t="shared" si="23"/>
        <v>Horror</v>
      </c>
    </row>
    <row r="227" spans="1:16">
      <c r="A227" t="s">
        <v>484</v>
      </c>
      <c r="B227" t="s">
        <v>485</v>
      </c>
      <c r="C227" t="s">
        <v>34</v>
      </c>
      <c r="D227">
        <v>89</v>
      </c>
      <c r="E227">
        <v>7</v>
      </c>
      <c r="F227" t="s">
        <v>35</v>
      </c>
      <c r="G227">
        <v>2025</v>
      </c>
      <c r="H227" t="s">
        <v>25</v>
      </c>
      <c r="I227" s="2">
        <v>45372</v>
      </c>
      <c r="J227" t="str">
        <f t="shared" si="18"/>
        <v>Short</v>
      </c>
      <c r="K227" t="str" cm="1">
        <f t="array" ref="K227">_xlfn.IFS(E227&lt;4, "Poor", E227&lt;7, "Average", E227&lt;9, "Good", TRUE, "Excellent")</f>
        <v>Good</v>
      </c>
      <c r="L227" t="str">
        <f t="shared" si="19"/>
        <v>M1225 - Movie_225</v>
      </c>
      <c r="M227" t="str">
        <f t="shared" si="20"/>
        <v>Eng</v>
      </c>
      <c r="N227" t="str">
        <f t="shared" si="21"/>
        <v>25</v>
      </c>
      <c r="O227">
        <f t="shared" si="22"/>
        <v>9</v>
      </c>
      <c r="P227" t="str">
        <f t="shared" si="23"/>
        <v>Drama</v>
      </c>
    </row>
    <row r="228" spans="1:16">
      <c r="A228" t="s">
        <v>486</v>
      </c>
      <c r="B228" t="s">
        <v>487</v>
      </c>
      <c r="C228" t="s">
        <v>67</v>
      </c>
      <c r="D228">
        <v>101</v>
      </c>
      <c r="E228">
        <v>6.8</v>
      </c>
      <c r="F228" t="s">
        <v>31</v>
      </c>
      <c r="G228">
        <v>2011</v>
      </c>
      <c r="H228" t="s">
        <v>25</v>
      </c>
      <c r="I228" s="2">
        <v>44083</v>
      </c>
      <c r="J228" t="str">
        <f t="shared" si="18"/>
        <v>Short</v>
      </c>
      <c r="K228" t="str" cm="1">
        <f t="array" ref="K228">_xlfn.IFS(E228&lt;4, "Poor", E228&lt;7, "Average", E228&lt;9, "Good", TRUE, "Excellent")</f>
        <v>Average</v>
      </c>
      <c r="L228" t="str">
        <f t="shared" si="19"/>
        <v>M1226 - Movie_226</v>
      </c>
      <c r="M228" t="str">
        <f t="shared" si="20"/>
        <v>Fre</v>
      </c>
      <c r="N228" t="str">
        <f t="shared" si="21"/>
        <v>11</v>
      </c>
      <c r="O228">
        <f t="shared" si="22"/>
        <v>9</v>
      </c>
      <c r="P228" t="str">
        <f t="shared" si="23"/>
        <v>Thriller</v>
      </c>
    </row>
    <row r="229" spans="1:16">
      <c r="A229" t="s">
        <v>488</v>
      </c>
      <c r="B229" t="s">
        <v>489</v>
      </c>
      <c r="C229" t="s">
        <v>18</v>
      </c>
      <c r="D229">
        <v>139</v>
      </c>
      <c r="E229">
        <v>6.4</v>
      </c>
      <c r="F229" t="s">
        <v>24</v>
      </c>
      <c r="G229">
        <v>2000</v>
      </c>
      <c r="H229" t="s">
        <v>20</v>
      </c>
      <c r="I229" s="2">
        <v>45038</v>
      </c>
      <c r="J229" t="str">
        <f t="shared" si="18"/>
        <v>Long</v>
      </c>
      <c r="K229" t="str" cm="1">
        <f t="array" ref="K229">_xlfn.IFS(E229&lt;4, "Poor", E229&lt;7, "Average", E229&lt;9, "Good", TRUE, "Excellent")</f>
        <v>Average</v>
      </c>
      <c r="L229" t="str">
        <f t="shared" si="19"/>
        <v>M1227 - Movie_227</v>
      </c>
      <c r="M229" t="str">
        <f t="shared" si="20"/>
        <v>Hin</v>
      </c>
      <c r="N229" t="str">
        <f t="shared" si="21"/>
        <v>00</v>
      </c>
      <c r="O229">
        <f t="shared" si="22"/>
        <v>9</v>
      </c>
      <c r="P229" t="str">
        <f t="shared" si="23"/>
        <v>Horror</v>
      </c>
    </row>
    <row r="230" spans="1:16">
      <c r="A230" t="s">
        <v>490</v>
      </c>
      <c r="B230" t="s">
        <v>491</v>
      </c>
      <c r="C230" t="s">
        <v>18</v>
      </c>
      <c r="D230">
        <v>87</v>
      </c>
      <c r="E230">
        <v>1.2</v>
      </c>
      <c r="F230" t="s">
        <v>31</v>
      </c>
      <c r="G230">
        <v>2010</v>
      </c>
      <c r="H230" t="s">
        <v>25</v>
      </c>
      <c r="I230" s="2">
        <v>45326</v>
      </c>
      <c r="J230" t="str">
        <f t="shared" si="18"/>
        <v>Short</v>
      </c>
      <c r="K230" t="str" cm="1">
        <f t="array" ref="K230">_xlfn.IFS(E230&lt;4, "Poor", E230&lt;7, "Average", E230&lt;9, "Good", TRUE, "Excellent")</f>
        <v>Poor</v>
      </c>
      <c r="L230" t="str">
        <f t="shared" si="19"/>
        <v>M1228 - Movie_228</v>
      </c>
      <c r="M230" t="str">
        <f t="shared" si="20"/>
        <v>Fre</v>
      </c>
      <c r="N230" t="str">
        <f t="shared" si="21"/>
        <v>10</v>
      </c>
      <c r="O230">
        <f t="shared" si="22"/>
        <v>9</v>
      </c>
      <c r="P230" t="str">
        <f t="shared" si="23"/>
        <v>Horror</v>
      </c>
    </row>
    <row r="231" spans="1:16">
      <c r="A231" t="s">
        <v>492</v>
      </c>
      <c r="B231" t="s">
        <v>493</v>
      </c>
      <c r="C231" t="s">
        <v>34</v>
      </c>
      <c r="D231">
        <v>66</v>
      </c>
      <c r="E231">
        <v>8.1</v>
      </c>
      <c r="F231" t="s">
        <v>19</v>
      </c>
      <c r="G231">
        <v>2002</v>
      </c>
      <c r="H231" t="s">
        <v>25</v>
      </c>
      <c r="I231" s="2">
        <v>44617</v>
      </c>
      <c r="J231" t="str">
        <f t="shared" si="18"/>
        <v>Short</v>
      </c>
      <c r="K231" t="str" cm="1">
        <f t="array" ref="K231">_xlfn.IFS(E231&lt;4, "Poor", E231&lt;7, "Average", E231&lt;9, "Good", TRUE, "Excellent")</f>
        <v>Good</v>
      </c>
      <c r="L231" t="str">
        <f t="shared" si="19"/>
        <v>M1229 - Movie_229</v>
      </c>
      <c r="M231" t="str">
        <f t="shared" si="20"/>
        <v>Jap</v>
      </c>
      <c r="N231" t="str">
        <f t="shared" si="21"/>
        <v>02</v>
      </c>
      <c r="O231">
        <f t="shared" si="22"/>
        <v>9</v>
      </c>
      <c r="P231" t="str">
        <f t="shared" si="23"/>
        <v>Drama</v>
      </c>
    </row>
    <row r="232" spans="1:16">
      <c r="A232" t="s">
        <v>494</v>
      </c>
      <c r="B232" t="s">
        <v>495</v>
      </c>
      <c r="C232" t="s">
        <v>67</v>
      </c>
      <c r="D232">
        <v>139</v>
      </c>
      <c r="E232">
        <v>3.2</v>
      </c>
      <c r="F232" t="s">
        <v>28</v>
      </c>
      <c r="G232">
        <v>2015</v>
      </c>
      <c r="H232" t="s">
        <v>25</v>
      </c>
      <c r="I232" s="2">
        <v>44550</v>
      </c>
      <c r="J232" t="str">
        <f t="shared" si="18"/>
        <v>Long</v>
      </c>
      <c r="K232" t="str" cm="1">
        <f t="array" ref="K232">_xlfn.IFS(E232&lt;4, "Poor", E232&lt;7, "Average", E232&lt;9, "Good", TRUE, "Excellent")</f>
        <v>Poor</v>
      </c>
      <c r="L232" t="str">
        <f t="shared" si="19"/>
        <v>M1230 - Movie_230</v>
      </c>
      <c r="M232" t="str">
        <f t="shared" si="20"/>
        <v>Spa</v>
      </c>
      <c r="N232" t="str">
        <f t="shared" si="21"/>
        <v>15</v>
      </c>
      <c r="O232">
        <f t="shared" si="22"/>
        <v>9</v>
      </c>
      <c r="P232" t="str">
        <f t="shared" si="23"/>
        <v>Thriller</v>
      </c>
    </row>
    <row r="233" spans="1:16">
      <c r="A233" t="s">
        <v>496</v>
      </c>
      <c r="B233" t="s">
        <v>497</v>
      </c>
      <c r="C233" t="s">
        <v>58</v>
      </c>
      <c r="D233">
        <v>156</v>
      </c>
      <c r="E233">
        <v>2.1</v>
      </c>
      <c r="F233" t="s">
        <v>19</v>
      </c>
      <c r="G233">
        <v>1997</v>
      </c>
      <c r="H233" t="s">
        <v>20</v>
      </c>
      <c r="I233" s="2">
        <v>44710</v>
      </c>
      <c r="J233" t="str">
        <f t="shared" si="18"/>
        <v>Long</v>
      </c>
      <c r="K233" t="str" cm="1">
        <f t="array" ref="K233">_xlfn.IFS(E233&lt;4, "Poor", E233&lt;7, "Average", E233&lt;9, "Good", TRUE, "Excellent")</f>
        <v>Poor</v>
      </c>
      <c r="L233" t="str">
        <f t="shared" si="19"/>
        <v>M1231 - Movie_231</v>
      </c>
      <c r="M233" t="str">
        <f t="shared" si="20"/>
        <v>Jap</v>
      </c>
      <c r="N233" t="str">
        <f t="shared" si="21"/>
        <v>97</v>
      </c>
      <c r="O233">
        <f t="shared" si="22"/>
        <v>9</v>
      </c>
      <c r="P233" t="str">
        <f t="shared" si="23"/>
        <v>Sci-Fi</v>
      </c>
    </row>
    <row r="234" spans="1:16">
      <c r="A234" t="s">
        <v>498</v>
      </c>
      <c r="B234" t="s">
        <v>499</v>
      </c>
      <c r="C234" t="s">
        <v>67</v>
      </c>
      <c r="D234">
        <v>161</v>
      </c>
      <c r="E234">
        <v>6.1</v>
      </c>
      <c r="F234" t="s">
        <v>61</v>
      </c>
      <c r="G234">
        <v>1998</v>
      </c>
      <c r="H234" t="s">
        <v>25</v>
      </c>
      <c r="I234" s="2">
        <v>44475</v>
      </c>
      <c r="J234" t="str">
        <f t="shared" si="18"/>
        <v>Long</v>
      </c>
      <c r="K234" t="str" cm="1">
        <f t="array" ref="K234">_xlfn.IFS(E234&lt;4, "Poor", E234&lt;7, "Average", E234&lt;9, "Good", TRUE, "Excellent")</f>
        <v>Average</v>
      </c>
      <c r="L234" t="str">
        <f t="shared" si="19"/>
        <v>M1232 - Movie_232</v>
      </c>
      <c r="M234" t="str">
        <f t="shared" si="20"/>
        <v>Ger</v>
      </c>
      <c r="N234" t="str">
        <f t="shared" si="21"/>
        <v>98</v>
      </c>
      <c r="O234">
        <f t="shared" si="22"/>
        <v>9</v>
      </c>
      <c r="P234" t="str">
        <f t="shared" si="23"/>
        <v>Thriller</v>
      </c>
    </row>
    <row r="235" spans="1:16">
      <c r="A235" t="s">
        <v>500</v>
      </c>
      <c r="B235" t="s">
        <v>501</v>
      </c>
      <c r="C235" t="s">
        <v>23</v>
      </c>
      <c r="D235">
        <v>110</v>
      </c>
      <c r="E235">
        <v>1.6</v>
      </c>
      <c r="F235" t="s">
        <v>19</v>
      </c>
      <c r="G235">
        <v>1987</v>
      </c>
      <c r="H235" t="s">
        <v>20</v>
      </c>
      <c r="I235" s="2">
        <v>45451</v>
      </c>
      <c r="J235" t="str">
        <f t="shared" si="18"/>
        <v>Short</v>
      </c>
      <c r="K235" t="str" cm="1">
        <f t="array" ref="K235">_xlfn.IFS(E235&lt;4, "Poor", E235&lt;7, "Average", E235&lt;9, "Good", TRUE, "Excellent")</f>
        <v>Poor</v>
      </c>
      <c r="L235" t="str">
        <f t="shared" si="19"/>
        <v>M1233 - Movie_233</v>
      </c>
      <c r="M235" t="str">
        <f t="shared" si="20"/>
        <v>Jap</v>
      </c>
      <c r="N235" t="str">
        <f t="shared" si="21"/>
        <v>87</v>
      </c>
      <c r="O235">
        <f t="shared" si="22"/>
        <v>9</v>
      </c>
      <c r="P235" t="str">
        <f t="shared" si="23"/>
        <v>Action</v>
      </c>
    </row>
    <row r="236" spans="1:16">
      <c r="A236" t="s">
        <v>502</v>
      </c>
      <c r="B236" t="s">
        <v>503</v>
      </c>
      <c r="C236" t="s">
        <v>40</v>
      </c>
      <c r="D236">
        <v>79</v>
      </c>
      <c r="E236">
        <v>7.9</v>
      </c>
      <c r="F236" t="s">
        <v>61</v>
      </c>
      <c r="G236">
        <v>2016</v>
      </c>
      <c r="H236" t="s">
        <v>25</v>
      </c>
      <c r="I236" s="2">
        <v>44117</v>
      </c>
      <c r="J236" t="str">
        <f t="shared" si="18"/>
        <v>Short</v>
      </c>
      <c r="K236" t="str" cm="1">
        <f t="array" ref="K236">_xlfn.IFS(E236&lt;4, "Poor", E236&lt;7, "Average", E236&lt;9, "Good", TRUE, "Excellent")</f>
        <v>Good</v>
      </c>
      <c r="L236" t="str">
        <f t="shared" si="19"/>
        <v>M1234 - Movie_234</v>
      </c>
      <c r="M236" t="str">
        <f t="shared" si="20"/>
        <v>Ger</v>
      </c>
      <c r="N236" t="str">
        <f t="shared" si="21"/>
        <v>16</v>
      </c>
      <c r="O236">
        <f t="shared" si="22"/>
        <v>9</v>
      </c>
      <c r="P236" t="str">
        <f t="shared" si="23"/>
        <v>Comedy</v>
      </c>
    </row>
    <row r="237" spans="1:16">
      <c r="A237" t="s">
        <v>504</v>
      </c>
      <c r="B237" t="s">
        <v>505</v>
      </c>
      <c r="C237" t="s">
        <v>40</v>
      </c>
      <c r="D237">
        <v>122</v>
      </c>
      <c r="E237">
        <v>2.9</v>
      </c>
      <c r="F237" t="s">
        <v>19</v>
      </c>
      <c r="G237">
        <v>2023</v>
      </c>
      <c r="H237" t="s">
        <v>20</v>
      </c>
      <c r="I237" s="2">
        <v>44338</v>
      </c>
      <c r="J237" t="str">
        <f t="shared" si="18"/>
        <v>Long</v>
      </c>
      <c r="K237" t="str" cm="1">
        <f t="array" ref="K237">_xlfn.IFS(E237&lt;4, "Poor", E237&lt;7, "Average", E237&lt;9, "Good", TRUE, "Excellent")</f>
        <v>Poor</v>
      </c>
      <c r="L237" t="str">
        <f t="shared" si="19"/>
        <v>M1235 - Movie_235</v>
      </c>
      <c r="M237" t="str">
        <f t="shared" si="20"/>
        <v>Jap</v>
      </c>
      <c r="N237" t="str">
        <f t="shared" si="21"/>
        <v>23</v>
      </c>
      <c r="O237">
        <f t="shared" si="22"/>
        <v>9</v>
      </c>
      <c r="P237" t="str">
        <f t="shared" si="23"/>
        <v>Comedy</v>
      </c>
    </row>
    <row r="238" spans="1:16">
      <c r="A238" t="s">
        <v>506</v>
      </c>
      <c r="B238" t="s">
        <v>507</v>
      </c>
      <c r="C238" t="s">
        <v>23</v>
      </c>
      <c r="D238">
        <v>86</v>
      </c>
      <c r="E238">
        <v>2.9</v>
      </c>
      <c r="F238" t="s">
        <v>28</v>
      </c>
      <c r="G238">
        <v>2014</v>
      </c>
      <c r="H238" t="s">
        <v>20</v>
      </c>
      <c r="I238" s="2">
        <v>44398</v>
      </c>
      <c r="J238" t="str">
        <f t="shared" si="18"/>
        <v>Short</v>
      </c>
      <c r="K238" t="str" cm="1">
        <f t="array" ref="K238">_xlfn.IFS(E238&lt;4, "Poor", E238&lt;7, "Average", E238&lt;9, "Good", TRUE, "Excellent")</f>
        <v>Poor</v>
      </c>
      <c r="L238" t="str">
        <f t="shared" si="19"/>
        <v>M1236 - Movie_236</v>
      </c>
      <c r="M238" t="str">
        <f t="shared" si="20"/>
        <v>Spa</v>
      </c>
      <c r="N238" t="str">
        <f t="shared" si="21"/>
        <v>14</v>
      </c>
      <c r="O238">
        <f t="shared" si="22"/>
        <v>9</v>
      </c>
      <c r="P238" t="str">
        <f t="shared" si="23"/>
        <v>Action</v>
      </c>
    </row>
    <row r="239" spans="1:16">
      <c r="A239" t="s">
        <v>508</v>
      </c>
      <c r="B239" t="s">
        <v>509</v>
      </c>
      <c r="C239" t="s">
        <v>34</v>
      </c>
      <c r="D239">
        <v>137</v>
      </c>
      <c r="E239">
        <v>8.8000000000000007</v>
      </c>
      <c r="F239" t="s">
        <v>28</v>
      </c>
      <c r="G239">
        <v>2004</v>
      </c>
      <c r="H239" t="s">
        <v>20</v>
      </c>
      <c r="I239" s="2">
        <v>45151</v>
      </c>
      <c r="J239" t="str">
        <f t="shared" si="18"/>
        <v>Long</v>
      </c>
      <c r="K239" t="str" cm="1">
        <f t="array" ref="K239">_xlfn.IFS(E239&lt;4, "Poor", E239&lt;7, "Average", E239&lt;9, "Good", TRUE, "Excellent")</f>
        <v>Good</v>
      </c>
      <c r="L239" t="str">
        <f t="shared" si="19"/>
        <v>M1237 - Movie_237</v>
      </c>
      <c r="M239" t="str">
        <f t="shared" si="20"/>
        <v>Spa</v>
      </c>
      <c r="N239" t="str">
        <f t="shared" si="21"/>
        <v>04</v>
      </c>
      <c r="O239">
        <f t="shared" si="22"/>
        <v>9</v>
      </c>
      <c r="P239" t="str">
        <f t="shared" si="23"/>
        <v>Drama</v>
      </c>
    </row>
    <row r="240" spans="1:16">
      <c r="A240" t="s">
        <v>510</v>
      </c>
      <c r="B240" t="s">
        <v>511</v>
      </c>
      <c r="C240" t="s">
        <v>23</v>
      </c>
      <c r="D240">
        <v>90</v>
      </c>
      <c r="E240">
        <v>4</v>
      </c>
      <c r="F240" t="s">
        <v>35</v>
      </c>
      <c r="G240">
        <v>2005</v>
      </c>
      <c r="H240" t="s">
        <v>25</v>
      </c>
      <c r="I240" s="2">
        <v>44003</v>
      </c>
      <c r="J240" t="str">
        <f t="shared" si="18"/>
        <v>Short</v>
      </c>
      <c r="K240" t="str" cm="1">
        <f t="array" ref="K240">_xlfn.IFS(E240&lt;4, "Poor", E240&lt;7, "Average", E240&lt;9, "Good", TRUE, "Excellent")</f>
        <v>Average</v>
      </c>
      <c r="L240" t="str">
        <f t="shared" si="19"/>
        <v>M1238 - Movie_238</v>
      </c>
      <c r="M240" t="str">
        <f t="shared" si="20"/>
        <v>Eng</v>
      </c>
      <c r="N240" t="str">
        <f t="shared" si="21"/>
        <v>05</v>
      </c>
      <c r="O240">
        <f t="shared" si="22"/>
        <v>9</v>
      </c>
      <c r="P240" t="str">
        <f t="shared" si="23"/>
        <v>Action</v>
      </c>
    </row>
    <row r="241" spans="1:16">
      <c r="A241" t="s">
        <v>512</v>
      </c>
      <c r="B241" t="s">
        <v>513</v>
      </c>
      <c r="C241" t="s">
        <v>58</v>
      </c>
      <c r="D241">
        <v>70</v>
      </c>
      <c r="E241">
        <v>2.2999999999999998</v>
      </c>
      <c r="F241" t="s">
        <v>19</v>
      </c>
      <c r="G241">
        <v>2002</v>
      </c>
      <c r="H241" t="s">
        <v>20</v>
      </c>
      <c r="I241" s="2">
        <v>44339</v>
      </c>
      <c r="J241" t="str">
        <f t="shared" si="18"/>
        <v>Short</v>
      </c>
      <c r="K241" t="str" cm="1">
        <f t="array" ref="K241">_xlfn.IFS(E241&lt;4, "Poor", E241&lt;7, "Average", E241&lt;9, "Good", TRUE, "Excellent")</f>
        <v>Poor</v>
      </c>
      <c r="L241" t="str">
        <f t="shared" si="19"/>
        <v>M1239 - Movie_239</v>
      </c>
      <c r="M241" t="str">
        <f t="shared" si="20"/>
        <v>Jap</v>
      </c>
      <c r="N241" t="str">
        <f t="shared" si="21"/>
        <v>02</v>
      </c>
      <c r="O241">
        <f t="shared" si="22"/>
        <v>9</v>
      </c>
      <c r="P241" t="str">
        <f t="shared" si="23"/>
        <v>Sci-Fi</v>
      </c>
    </row>
    <row r="242" spans="1:16">
      <c r="A242" t="s">
        <v>514</v>
      </c>
      <c r="B242" t="s">
        <v>515</v>
      </c>
      <c r="C242" t="s">
        <v>58</v>
      </c>
      <c r="D242">
        <v>148</v>
      </c>
      <c r="E242">
        <v>9.1</v>
      </c>
      <c r="F242" t="s">
        <v>61</v>
      </c>
      <c r="G242">
        <v>1989</v>
      </c>
      <c r="H242" t="s">
        <v>25</v>
      </c>
      <c r="I242" s="2">
        <v>44964</v>
      </c>
      <c r="J242" t="str">
        <f t="shared" si="18"/>
        <v>Long</v>
      </c>
      <c r="K242" t="str" cm="1">
        <f t="array" ref="K242">_xlfn.IFS(E242&lt;4, "Poor", E242&lt;7, "Average", E242&lt;9, "Good", TRUE, "Excellent")</f>
        <v>Excellent</v>
      </c>
      <c r="L242" t="str">
        <f t="shared" si="19"/>
        <v>M1240 - Movie_240</v>
      </c>
      <c r="M242" t="str">
        <f t="shared" si="20"/>
        <v>Ger</v>
      </c>
      <c r="N242" t="str">
        <f t="shared" si="21"/>
        <v>89</v>
      </c>
      <c r="O242">
        <f t="shared" si="22"/>
        <v>9</v>
      </c>
      <c r="P242" t="str">
        <f t="shared" si="23"/>
        <v>Sci-Fi</v>
      </c>
    </row>
    <row r="243" spans="1:16">
      <c r="A243" t="s">
        <v>516</v>
      </c>
      <c r="B243" t="s">
        <v>517</v>
      </c>
      <c r="C243" t="s">
        <v>40</v>
      </c>
      <c r="D243">
        <v>196</v>
      </c>
      <c r="E243">
        <v>1</v>
      </c>
      <c r="F243" t="s">
        <v>35</v>
      </c>
      <c r="G243">
        <v>1998</v>
      </c>
      <c r="H243" t="s">
        <v>20</v>
      </c>
      <c r="I243" s="2">
        <v>45061</v>
      </c>
      <c r="J243" t="str">
        <f t="shared" si="18"/>
        <v>Long</v>
      </c>
      <c r="K243" t="str" cm="1">
        <f t="array" ref="K243">_xlfn.IFS(E243&lt;4, "Poor", E243&lt;7, "Average", E243&lt;9, "Good", TRUE, "Excellent")</f>
        <v>Poor</v>
      </c>
      <c r="L243" t="str">
        <f t="shared" si="19"/>
        <v>M1241 - Movie_241</v>
      </c>
      <c r="M243" t="str">
        <f t="shared" si="20"/>
        <v>Eng</v>
      </c>
      <c r="N243" t="str">
        <f t="shared" si="21"/>
        <v>98</v>
      </c>
      <c r="O243">
        <f t="shared" si="22"/>
        <v>9</v>
      </c>
      <c r="P243" t="str">
        <f t="shared" si="23"/>
        <v>Comedy</v>
      </c>
    </row>
    <row r="244" spans="1:16">
      <c r="A244" t="s">
        <v>518</v>
      </c>
      <c r="B244" t="s">
        <v>519</v>
      </c>
      <c r="C244" t="s">
        <v>58</v>
      </c>
      <c r="D244">
        <v>169</v>
      </c>
      <c r="E244">
        <v>8.6999999999999993</v>
      </c>
      <c r="F244" t="s">
        <v>31</v>
      </c>
      <c r="G244">
        <v>1982</v>
      </c>
      <c r="H244" t="s">
        <v>25</v>
      </c>
      <c r="I244" s="2">
        <v>45059</v>
      </c>
      <c r="J244" t="str">
        <f t="shared" si="18"/>
        <v>Long</v>
      </c>
      <c r="K244" t="str" cm="1">
        <f t="array" ref="K244">_xlfn.IFS(E244&lt;4, "Poor", E244&lt;7, "Average", E244&lt;9, "Good", TRUE, "Excellent")</f>
        <v>Good</v>
      </c>
      <c r="L244" t="str">
        <f t="shared" si="19"/>
        <v>M1242 - Movie_242</v>
      </c>
      <c r="M244" t="str">
        <f t="shared" si="20"/>
        <v>Fre</v>
      </c>
      <c r="N244" t="str">
        <f t="shared" si="21"/>
        <v>82</v>
      </c>
      <c r="O244">
        <f t="shared" si="22"/>
        <v>9</v>
      </c>
      <c r="P244" t="str">
        <f t="shared" si="23"/>
        <v>Sci-Fi</v>
      </c>
    </row>
    <row r="245" spans="1:16">
      <c r="A245" t="s">
        <v>520</v>
      </c>
      <c r="B245" t="s">
        <v>521</v>
      </c>
      <c r="C245" t="s">
        <v>40</v>
      </c>
      <c r="D245">
        <v>154</v>
      </c>
      <c r="E245">
        <v>2.2999999999999998</v>
      </c>
      <c r="F245" t="s">
        <v>28</v>
      </c>
      <c r="G245">
        <v>1998</v>
      </c>
      <c r="H245" t="s">
        <v>25</v>
      </c>
      <c r="I245" s="2">
        <v>45307</v>
      </c>
      <c r="J245" t="str">
        <f t="shared" si="18"/>
        <v>Long</v>
      </c>
      <c r="K245" t="str" cm="1">
        <f t="array" ref="K245">_xlfn.IFS(E245&lt;4, "Poor", E245&lt;7, "Average", E245&lt;9, "Good", TRUE, "Excellent")</f>
        <v>Poor</v>
      </c>
      <c r="L245" t="str">
        <f t="shared" si="19"/>
        <v>M1243 - Movie_243</v>
      </c>
      <c r="M245" t="str">
        <f t="shared" si="20"/>
        <v>Spa</v>
      </c>
      <c r="N245" t="str">
        <f t="shared" si="21"/>
        <v>98</v>
      </c>
      <c r="O245">
        <f t="shared" si="22"/>
        <v>9</v>
      </c>
      <c r="P245" t="str">
        <f t="shared" si="23"/>
        <v>Comedy</v>
      </c>
    </row>
    <row r="246" spans="1:16">
      <c r="A246" t="s">
        <v>522</v>
      </c>
      <c r="B246" t="s">
        <v>523</v>
      </c>
      <c r="C246" t="s">
        <v>23</v>
      </c>
      <c r="D246">
        <v>77</v>
      </c>
      <c r="E246">
        <v>2.2000000000000002</v>
      </c>
      <c r="F246" t="s">
        <v>35</v>
      </c>
      <c r="G246">
        <v>2025</v>
      </c>
      <c r="H246" t="s">
        <v>25</v>
      </c>
      <c r="I246" s="2">
        <v>45075</v>
      </c>
      <c r="J246" t="str">
        <f t="shared" si="18"/>
        <v>Short</v>
      </c>
      <c r="K246" t="str" cm="1">
        <f t="array" ref="K246">_xlfn.IFS(E246&lt;4, "Poor", E246&lt;7, "Average", E246&lt;9, "Good", TRUE, "Excellent")</f>
        <v>Poor</v>
      </c>
      <c r="L246" t="str">
        <f t="shared" si="19"/>
        <v>M1244 - Movie_244</v>
      </c>
      <c r="M246" t="str">
        <f t="shared" si="20"/>
        <v>Eng</v>
      </c>
      <c r="N246" t="str">
        <f t="shared" si="21"/>
        <v>25</v>
      </c>
      <c r="O246">
        <f t="shared" si="22"/>
        <v>9</v>
      </c>
      <c r="P246" t="str">
        <f t="shared" si="23"/>
        <v>Action</v>
      </c>
    </row>
    <row r="247" spans="1:16">
      <c r="A247" t="s">
        <v>524</v>
      </c>
      <c r="B247" t="s">
        <v>525</v>
      </c>
      <c r="C247" t="s">
        <v>23</v>
      </c>
      <c r="D247">
        <v>189</v>
      </c>
      <c r="E247">
        <v>3.3</v>
      </c>
      <c r="F247" t="s">
        <v>28</v>
      </c>
      <c r="G247">
        <v>1985</v>
      </c>
      <c r="H247" t="s">
        <v>20</v>
      </c>
      <c r="I247" s="2">
        <v>44414</v>
      </c>
      <c r="J247" t="str">
        <f t="shared" si="18"/>
        <v>Long</v>
      </c>
      <c r="K247" t="str" cm="1">
        <f t="array" ref="K247">_xlfn.IFS(E247&lt;4, "Poor", E247&lt;7, "Average", E247&lt;9, "Good", TRUE, "Excellent")</f>
        <v>Poor</v>
      </c>
      <c r="L247" t="str">
        <f t="shared" si="19"/>
        <v>M1245 - Movie_245</v>
      </c>
      <c r="M247" t="str">
        <f t="shared" si="20"/>
        <v>Spa</v>
      </c>
      <c r="N247" t="str">
        <f t="shared" si="21"/>
        <v>85</v>
      </c>
      <c r="O247">
        <f t="shared" si="22"/>
        <v>9</v>
      </c>
      <c r="P247" t="str">
        <f t="shared" si="23"/>
        <v>Action</v>
      </c>
    </row>
    <row r="248" spans="1:16">
      <c r="A248" t="s">
        <v>526</v>
      </c>
      <c r="B248" t="s">
        <v>527</v>
      </c>
      <c r="C248" t="s">
        <v>18</v>
      </c>
      <c r="D248">
        <v>147</v>
      </c>
      <c r="E248">
        <v>2.6</v>
      </c>
      <c r="F248" t="s">
        <v>35</v>
      </c>
      <c r="G248">
        <v>2002</v>
      </c>
      <c r="H248" t="s">
        <v>20</v>
      </c>
      <c r="I248" s="2">
        <v>45426</v>
      </c>
      <c r="J248" t="str">
        <f t="shared" si="18"/>
        <v>Long</v>
      </c>
      <c r="K248" t="str" cm="1">
        <f t="array" ref="K248">_xlfn.IFS(E248&lt;4, "Poor", E248&lt;7, "Average", E248&lt;9, "Good", TRUE, "Excellent")</f>
        <v>Poor</v>
      </c>
      <c r="L248" t="str">
        <f t="shared" si="19"/>
        <v>M1246 - Movie_246</v>
      </c>
      <c r="M248" t="str">
        <f t="shared" si="20"/>
        <v>Eng</v>
      </c>
      <c r="N248" t="str">
        <f t="shared" si="21"/>
        <v>02</v>
      </c>
      <c r="O248">
        <f t="shared" si="22"/>
        <v>9</v>
      </c>
      <c r="P248" t="str">
        <f t="shared" si="23"/>
        <v>Horror</v>
      </c>
    </row>
    <row r="249" spans="1:16">
      <c r="A249" t="s">
        <v>528</v>
      </c>
      <c r="B249" t="s">
        <v>529</v>
      </c>
      <c r="C249" t="s">
        <v>18</v>
      </c>
      <c r="D249">
        <v>63</v>
      </c>
      <c r="E249">
        <v>6.9</v>
      </c>
      <c r="F249" t="s">
        <v>31</v>
      </c>
      <c r="G249">
        <v>2008</v>
      </c>
      <c r="H249" t="s">
        <v>20</v>
      </c>
      <c r="I249" s="2">
        <v>45245</v>
      </c>
      <c r="J249" t="str">
        <f t="shared" si="18"/>
        <v>Short</v>
      </c>
      <c r="K249" t="str" cm="1">
        <f t="array" ref="K249">_xlfn.IFS(E249&lt;4, "Poor", E249&lt;7, "Average", E249&lt;9, "Good", TRUE, "Excellent")</f>
        <v>Average</v>
      </c>
      <c r="L249" t="str">
        <f t="shared" si="19"/>
        <v>M1247 - Movie_247</v>
      </c>
      <c r="M249" t="str">
        <f t="shared" si="20"/>
        <v>Fre</v>
      </c>
      <c r="N249" t="str">
        <f t="shared" si="21"/>
        <v>08</v>
      </c>
      <c r="O249">
        <f t="shared" si="22"/>
        <v>9</v>
      </c>
      <c r="P249" t="str">
        <f t="shared" si="23"/>
        <v>Horror</v>
      </c>
    </row>
    <row r="250" spans="1:16">
      <c r="A250" t="s">
        <v>530</v>
      </c>
      <c r="B250" t="s">
        <v>531</v>
      </c>
      <c r="C250" t="s">
        <v>23</v>
      </c>
      <c r="D250">
        <v>167</v>
      </c>
      <c r="E250">
        <v>1.2</v>
      </c>
      <c r="F250" t="s">
        <v>31</v>
      </c>
      <c r="G250">
        <v>2021</v>
      </c>
      <c r="H250" t="s">
        <v>25</v>
      </c>
      <c r="I250" s="2">
        <v>43885</v>
      </c>
      <c r="J250" t="str">
        <f t="shared" si="18"/>
        <v>Long</v>
      </c>
      <c r="K250" t="str" cm="1">
        <f t="array" ref="K250">_xlfn.IFS(E250&lt;4, "Poor", E250&lt;7, "Average", E250&lt;9, "Good", TRUE, "Excellent")</f>
        <v>Poor</v>
      </c>
      <c r="L250" t="str">
        <f t="shared" si="19"/>
        <v>M1248 - Movie_248</v>
      </c>
      <c r="M250" t="str">
        <f t="shared" si="20"/>
        <v>Fre</v>
      </c>
      <c r="N250" t="str">
        <f t="shared" si="21"/>
        <v>21</v>
      </c>
      <c r="O250">
        <f t="shared" si="22"/>
        <v>9</v>
      </c>
      <c r="P250" t="str">
        <f t="shared" si="23"/>
        <v>Action</v>
      </c>
    </row>
    <row r="251" spans="1:16">
      <c r="A251" t="s">
        <v>532</v>
      </c>
      <c r="B251" t="s">
        <v>533</v>
      </c>
      <c r="C251" t="s">
        <v>40</v>
      </c>
      <c r="D251">
        <v>185</v>
      </c>
      <c r="E251">
        <v>1.1000000000000001</v>
      </c>
      <c r="F251" t="s">
        <v>24</v>
      </c>
      <c r="G251">
        <v>1996</v>
      </c>
      <c r="H251" t="s">
        <v>25</v>
      </c>
      <c r="I251" s="2">
        <v>45179</v>
      </c>
      <c r="J251" t="str">
        <f t="shared" si="18"/>
        <v>Long</v>
      </c>
      <c r="K251" t="str" cm="1">
        <f t="array" ref="K251">_xlfn.IFS(E251&lt;4, "Poor", E251&lt;7, "Average", E251&lt;9, "Good", TRUE, "Excellent")</f>
        <v>Poor</v>
      </c>
      <c r="L251" t="str">
        <f t="shared" si="19"/>
        <v>M1249 - Movie_249</v>
      </c>
      <c r="M251" t="str">
        <f t="shared" si="20"/>
        <v>Hin</v>
      </c>
      <c r="N251" t="str">
        <f t="shared" si="21"/>
        <v>96</v>
      </c>
      <c r="O251">
        <f t="shared" si="22"/>
        <v>9</v>
      </c>
      <c r="P251" t="str">
        <f t="shared" si="23"/>
        <v>Comedy</v>
      </c>
    </row>
    <row r="252" spans="1:16">
      <c r="A252" t="s">
        <v>534</v>
      </c>
      <c r="B252" t="s">
        <v>535</v>
      </c>
      <c r="C252" t="s">
        <v>23</v>
      </c>
      <c r="D252">
        <v>87</v>
      </c>
      <c r="E252">
        <v>8.1</v>
      </c>
      <c r="F252" t="s">
        <v>61</v>
      </c>
      <c r="G252">
        <v>2010</v>
      </c>
      <c r="H252" t="s">
        <v>25</v>
      </c>
      <c r="I252" s="2">
        <v>44448</v>
      </c>
      <c r="J252" t="str">
        <f t="shared" si="18"/>
        <v>Short</v>
      </c>
      <c r="K252" t="str" cm="1">
        <f t="array" ref="K252">_xlfn.IFS(E252&lt;4, "Poor", E252&lt;7, "Average", E252&lt;9, "Good", TRUE, "Excellent")</f>
        <v>Good</v>
      </c>
      <c r="L252" t="str">
        <f t="shared" si="19"/>
        <v>M1250 - Movie_250</v>
      </c>
      <c r="M252" t="str">
        <f t="shared" si="20"/>
        <v>Ger</v>
      </c>
      <c r="N252" t="str">
        <f t="shared" si="21"/>
        <v>10</v>
      </c>
      <c r="O252">
        <f t="shared" si="22"/>
        <v>9</v>
      </c>
      <c r="P252" t="str">
        <f t="shared" si="23"/>
        <v>Action</v>
      </c>
    </row>
    <row r="253" spans="1:16">
      <c r="A253" t="s">
        <v>536</v>
      </c>
      <c r="B253" t="s">
        <v>537</v>
      </c>
      <c r="C253" t="s">
        <v>23</v>
      </c>
      <c r="D253">
        <v>170</v>
      </c>
      <c r="E253">
        <v>3.1</v>
      </c>
      <c r="F253" t="s">
        <v>24</v>
      </c>
      <c r="G253">
        <v>1993</v>
      </c>
      <c r="H253" t="s">
        <v>25</v>
      </c>
      <c r="I253" s="2">
        <v>44251</v>
      </c>
      <c r="J253" t="str">
        <f t="shared" si="18"/>
        <v>Long</v>
      </c>
      <c r="K253" t="str" cm="1">
        <f t="array" ref="K253">_xlfn.IFS(E253&lt;4, "Poor", E253&lt;7, "Average", E253&lt;9, "Good", TRUE, "Excellent")</f>
        <v>Poor</v>
      </c>
      <c r="L253" t="str">
        <f t="shared" si="19"/>
        <v>M1251 - Movie_251</v>
      </c>
      <c r="M253" t="str">
        <f t="shared" si="20"/>
        <v>Hin</v>
      </c>
      <c r="N253" t="str">
        <f t="shared" si="21"/>
        <v>93</v>
      </c>
      <c r="O253">
        <f t="shared" si="22"/>
        <v>9</v>
      </c>
      <c r="P253" t="str">
        <f t="shared" si="23"/>
        <v>Action</v>
      </c>
    </row>
    <row r="254" spans="1:16">
      <c r="A254" t="s">
        <v>538</v>
      </c>
      <c r="B254" t="s">
        <v>539</v>
      </c>
      <c r="C254" t="s">
        <v>34</v>
      </c>
      <c r="D254">
        <v>152</v>
      </c>
      <c r="E254">
        <v>3.9</v>
      </c>
      <c r="F254" t="s">
        <v>61</v>
      </c>
      <c r="G254">
        <v>1992</v>
      </c>
      <c r="H254" t="s">
        <v>20</v>
      </c>
      <c r="I254" s="2">
        <v>44891</v>
      </c>
      <c r="J254" t="str">
        <f t="shared" si="18"/>
        <v>Long</v>
      </c>
      <c r="K254" t="str" cm="1">
        <f t="array" ref="K254">_xlfn.IFS(E254&lt;4, "Poor", E254&lt;7, "Average", E254&lt;9, "Good", TRUE, "Excellent")</f>
        <v>Poor</v>
      </c>
      <c r="L254" t="str">
        <f t="shared" si="19"/>
        <v>M1252 - Movie_252</v>
      </c>
      <c r="M254" t="str">
        <f t="shared" si="20"/>
        <v>Ger</v>
      </c>
      <c r="N254" t="str">
        <f t="shared" si="21"/>
        <v>92</v>
      </c>
      <c r="O254">
        <f t="shared" si="22"/>
        <v>9</v>
      </c>
      <c r="P254" t="str">
        <f t="shared" si="23"/>
        <v>Drama</v>
      </c>
    </row>
    <row r="255" spans="1:16">
      <c r="A255" t="s">
        <v>540</v>
      </c>
      <c r="B255" t="s">
        <v>541</v>
      </c>
      <c r="C255" t="s">
        <v>23</v>
      </c>
      <c r="D255">
        <v>177</v>
      </c>
      <c r="E255">
        <v>2.6</v>
      </c>
      <c r="F255" t="s">
        <v>31</v>
      </c>
      <c r="G255">
        <v>2014</v>
      </c>
      <c r="H255" t="s">
        <v>20</v>
      </c>
      <c r="I255" s="2">
        <v>45073</v>
      </c>
      <c r="J255" t="str">
        <f t="shared" si="18"/>
        <v>Long</v>
      </c>
      <c r="K255" t="str" cm="1">
        <f t="array" ref="K255">_xlfn.IFS(E255&lt;4, "Poor", E255&lt;7, "Average", E255&lt;9, "Good", TRUE, "Excellent")</f>
        <v>Poor</v>
      </c>
      <c r="L255" t="str">
        <f t="shared" si="19"/>
        <v>M1253 - Movie_253</v>
      </c>
      <c r="M255" t="str">
        <f t="shared" si="20"/>
        <v>Fre</v>
      </c>
      <c r="N255" t="str">
        <f t="shared" si="21"/>
        <v>14</v>
      </c>
      <c r="O255">
        <f t="shared" si="22"/>
        <v>9</v>
      </c>
      <c r="P255" t="str">
        <f t="shared" si="23"/>
        <v>Action</v>
      </c>
    </row>
    <row r="256" spans="1:16">
      <c r="A256" t="s">
        <v>542</v>
      </c>
      <c r="B256" t="s">
        <v>543</v>
      </c>
      <c r="C256" t="s">
        <v>58</v>
      </c>
      <c r="D256">
        <v>99</v>
      </c>
      <c r="E256">
        <v>1.5</v>
      </c>
      <c r="F256" t="s">
        <v>35</v>
      </c>
      <c r="G256">
        <v>1997</v>
      </c>
      <c r="H256" t="s">
        <v>20</v>
      </c>
      <c r="I256" s="2">
        <v>44874</v>
      </c>
      <c r="J256" t="str">
        <f t="shared" si="18"/>
        <v>Short</v>
      </c>
      <c r="K256" t="str" cm="1">
        <f t="array" ref="K256">_xlfn.IFS(E256&lt;4, "Poor", E256&lt;7, "Average", E256&lt;9, "Good", TRUE, "Excellent")</f>
        <v>Poor</v>
      </c>
      <c r="L256" t="str">
        <f t="shared" si="19"/>
        <v>M1254 - Movie_254</v>
      </c>
      <c r="M256" t="str">
        <f t="shared" si="20"/>
        <v>Eng</v>
      </c>
      <c r="N256" t="str">
        <f t="shared" si="21"/>
        <v>97</v>
      </c>
      <c r="O256">
        <f t="shared" si="22"/>
        <v>9</v>
      </c>
      <c r="P256" t="str">
        <f t="shared" si="23"/>
        <v>Sci-Fi</v>
      </c>
    </row>
    <row r="257" spans="1:16">
      <c r="A257" t="s">
        <v>544</v>
      </c>
      <c r="B257" t="s">
        <v>545</v>
      </c>
      <c r="C257" t="s">
        <v>40</v>
      </c>
      <c r="D257">
        <v>171</v>
      </c>
      <c r="E257">
        <v>7.7</v>
      </c>
      <c r="F257" t="s">
        <v>19</v>
      </c>
      <c r="G257">
        <v>2015</v>
      </c>
      <c r="H257" t="s">
        <v>20</v>
      </c>
      <c r="I257" s="2">
        <v>44217</v>
      </c>
      <c r="J257" t="str">
        <f t="shared" si="18"/>
        <v>Long</v>
      </c>
      <c r="K257" t="str" cm="1">
        <f t="array" ref="K257">_xlfn.IFS(E257&lt;4, "Poor", E257&lt;7, "Average", E257&lt;9, "Good", TRUE, "Excellent")</f>
        <v>Good</v>
      </c>
      <c r="L257" t="str">
        <f t="shared" si="19"/>
        <v>M1255 - Movie_255</v>
      </c>
      <c r="M257" t="str">
        <f t="shared" si="20"/>
        <v>Jap</v>
      </c>
      <c r="N257" t="str">
        <f t="shared" si="21"/>
        <v>15</v>
      </c>
      <c r="O257">
        <f t="shared" si="22"/>
        <v>9</v>
      </c>
      <c r="P257" t="str">
        <f t="shared" si="23"/>
        <v>Comedy</v>
      </c>
    </row>
    <row r="258" spans="1:16">
      <c r="A258" t="s">
        <v>546</v>
      </c>
      <c r="B258" t="s">
        <v>547</v>
      </c>
      <c r="C258" t="s">
        <v>34</v>
      </c>
      <c r="D258">
        <v>105</v>
      </c>
      <c r="E258">
        <v>5.7</v>
      </c>
      <c r="F258" t="s">
        <v>28</v>
      </c>
      <c r="G258">
        <v>2024</v>
      </c>
      <c r="H258" t="s">
        <v>25</v>
      </c>
      <c r="I258" s="2">
        <v>45362</v>
      </c>
      <c r="J258" t="str">
        <f t="shared" si="18"/>
        <v>Short</v>
      </c>
      <c r="K258" t="str" cm="1">
        <f t="array" ref="K258">_xlfn.IFS(E258&lt;4, "Poor", E258&lt;7, "Average", E258&lt;9, "Good", TRUE, "Excellent")</f>
        <v>Average</v>
      </c>
      <c r="L258" t="str">
        <f t="shared" si="19"/>
        <v>M1256 - Movie_256</v>
      </c>
      <c r="M258" t="str">
        <f t="shared" si="20"/>
        <v>Spa</v>
      </c>
      <c r="N258" t="str">
        <f t="shared" si="21"/>
        <v>24</v>
      </c>
      <c r="O258">
        <f t="shared" si="22"/>
        <v>9</v>
      </c>
      <c r="P258" t="str">
        <f t="shared" si="23"/>
        <v>Drama</v>
      </c>
    </row>
    <row r="259" spans="1:16">
      <c r="A259" t="s">
        <v>548</v>
      </c>
      <c r="B259" t="s">
        <v>549</v>
      </c>
      <c r="C259" t="s">
        <v>18</v>
      </c>
      <c r="D259">
        <v>193</v>
      </c>
      <c r="E259">
        <v>7.7</v>
      </c>
      <c r="F259" t="s">
        <v>31</v>
      </c>
      <c r="G259">
        <v>1997</v>
      </c>
      <c r="H259" t="s">
        <v>25</v>
      </c>
      <c r="I259" s="2">
        <v>44633</v>
      </c>
      <c r="J259" t="str">
        <f t="shared" ref="J259:J322" si="24">IF(D259&gt;120, "Long", "Short")</f>
        <v>Long</v>
      </c>
      <c r="K259" t="str" cm="1">
        <f t="array" ref="K259">_xlfn.IFS(E259&lt;4, "Poor", E259&lt;7, "Average", E259&lt;9, "Good", TRUE, "Excellent")</f>
        <v>Good</v>
      </c>
      <c r="L259" t="str">
        <f t="shared" ref="L259:L322" si="25">_xlfn.CONCAT(A259, " - ", B259)</f>
        <v>M1257 - Movie_257</v>
      </c>
      <c r="M259" t="str">
        <f t="shared" ref="M259:M322" si="26">LEFT(F259,3)</f>
        <v>Fre</v>
      </c>
      <c r="N259" t="str">
        <f t="shared" ref="N259:N322" si="27">RIGHT(G259,2)</f>
        <v>97</v>
      </c>
      <c r="O259">
        <f t="shared" ref="O259:O322" si="28">LEN(B259)</f>
        <v>9</v>
      </c>
      <c r="P259" t="str">
        <f t="shared" ref="P259:P322" si="29">TRIM(C259)</f>
        <v>Horror</v>
      </c>
    </row>
    <row r="260" spans="1:16">
      <c r="A260" t="s">
        <v>550</v>
      </c>
      <c r="B260" t="s">
        <v>551</v>
      </c>
      <c r="C260" t="s">
        <v>67</v>
      </c>
      <c r="D260">
        <v>129</v>
      </c>
      <c r="E260">
        <v>5.3</v>
      </c>
      <c r="F260" t="s">
        <v>31</v>
      </c>
      <c r="G260">
        <v>1988</v>
      </c>
      <c r="H260" t="s">
        <v>25</v>
      </c>
      <c r="I260" s="2">
        <v>44436</v>
      </c>
      <c r="J260" t="str">
        <f t="shared" si="24"/>
        <v>Long</v>
      </c>
      <c r="K260" t="str" cm="1">
        <f t="array" ref="K260">_xlfn.IFS(E260&lt;4, "Poor", E260&lt;7, "Average", E260&lt;9, "Good", TRUE, "Excellent")</f>
        <v>Average</v>
      </c>
      <c r="L260" t="str">
        <f t="shared" si="25"/>
        <v>M1258 - Movie_258</v>
      </c>
      <c r="M260" t="str">
        <f t="shared" si="26"/>
        <v>Fre</v>
      </c>
      <c r="N260" t="str">
        <f t="shared" si="27"/>
        <v>88</v>
      </c>
      <c r="O260">
        <f t="shared" si="28"/>
        <v>9</v>
      </c>
      <c r="P260" t="str">
        <f t="shared" si="29"/>
        <v>Thriller</v>
      </c>
    </row>
    <row r="261" spans="1:16">
      <c r="A261" t="s">
        <v>552</v>
      </c>
      <c r="B261" t="s">
        <v>553</v>
      </c>
      <c r="C261" t="s">
        <v>40</v>
      </c>
      <c r="D261">
        <v>197</v>
      </c>
      <c r="E261">
        <v>8</v>
      </c>
      <c r="F261" t="s">
        <v>35</v>
      </c>
      <c r="G261">
        <v>1986</v>
      </c>
      <c r="H261" t="s">
        <v>20</v>
      </c>
      <c r="I261" s="2">
        <v>45154</v>
      </c>
      <c r="J261" t="str">
        <f t="shared" si="24"/>
        <v>Long</v>
      </c>
      <c r="K261" t="str" cm="1">
        <f t="array" ref="K261">_xlfn.IFS(E261&lt;4, "Poor", E261&lt;7, "Average", E261&lt;9, "Good", TRUE, "Excellent")</f>
        <v>Good</v>
      </c>
      <c r="L261" t="str">
        <f t="shared" si="25"/>
        <v>M1259 - Movie_259</v>
      </c>
      <c r="M261" t="str">
        <f t="shared" si="26"/>
        <v>Eng</v>
      </c>
      <c r="N261" t="str">
        <f t="shared" si="27"/>
        <v>86</v>
      </c>
      <c r="O261">
        <f t="shared" si="28"/>
        <v>9</v>
      </c>
      <c r="P261" t="str">
        <f t="shared" si="29"/>
        <v>Comedy</v>
      </c>
    </row>
    <row r="262" spans="1:16">
      <c r="A262" t="s">
        <v>554</v>
      </c>
      <c r="B262" t="s">
        <v>555</v>
      </c>
      <c r="C262" t="s">
        <v>58</v>
      </c>
      <c r="D262">
        <v>183</v>
      </c>
      <c r="E262">
        <v>5.6</v>
      </c>
      <c r="F262" t="s">
        <v>19</v>
      </c>
      <c r="G262">
        <v>2019</v>
      </c>
      <c r="H262" t="s">
        <v>20</v>
      </c>
      <c r="I262" s="2">
        <v>43942</v>
      </c>
      <c r="J262" t="str">
        <f t="shared" si="24"/>
        <v>Long</v>
      </c>
      <c r="K262" t="str" cm="1">
        <f t="array" ref="K262">_xlfn.IFS(E262&lt;4, "Poor", E262&lt;7, "Average", E262&lt;9, "Good", TRUE, "Excellent")</f>
        <v>Average</v>
      </c>
      <c r="L262" t="str">
        <f t="shared" si="25"/>
        <v>M1260 - Movie_260</v>
      </c>
      <c r="M262" t="str">
        <f t="shared" si="26"/>
        <v>Jap</v>
      </c>
      <c r="N262" t="str">
        <f t="shared" si="27"/>
        <v>19</v>
      </c>
      <c r="O262">
        <f t="shared" si="28"/>
        <v>9</v>
      </c>
      <c r="P262" t="str">
        <f t="shared" si="29"/>
        <v>Sci-Fi</v>
      </c>
    </row>
    <row r="263" spans="1:16">
      <c r="A263" t="s">
        <v>556</v>
      </c>
      <c r="B263" t="s">
        <v>557</v>
      </c>
      <c r="C263" t="s">
        <v>40</v>
      </c>
      <c r="D263">
        <v>179</v>
      </c>
      <c r="E263">
        <v>2</v>
      </c>
      <c r="F263" t="s">
        <v>31</v>
      </c>
      <c r="G263">
        <v>2017</v>
      </c>
      <c r="H263" t="s">
        <v>20</v>
      </c>
      <c r="I263" s="2">
        <v>45436</v>
      </c>
      <c r="J263" t="str">
        <f t="shared" si="24"/>
        <v>Long</v>
      </c>
      <c r="K263" t="str" cm="1">
        <f t="array" ref="K263">_xlfn.IFS(E263&lt;4, "Poor", E263&lt;7, "Average", E263&lt;9, "Good", TRUE, "Excellent")</f>
        <v>Poor</v>
      </c>
      <c r="L263" t="str">
        <f t="shared" si="25"/>
        <v>M1261 - Movie_261</v>
      </c>
      <c r="M263" t="str">
        <f t="shared" si="26"/>
        <v>Fre</v>
      </c>
      <c r="N263" t="str">
        <f t="shared" si="27"/>
        <v>17</v>
      </c>
      <c r="O263">
        <f t="shared" si="28"/>
        <v>9</v>
      </c>
      <c r="P263" t="str">
        <f t="shared" si="29"/>
        <v>Comedy</v>
      </c>
    </row>
    <row r="264" spans="1:16">
      <c r="A264" t="s">
        <v>558</v>
      </c>
      <c r="B264" t="s">
        <v>559</v>
      </c>
      <c r="C264" t="s">
        <v>18</v>
      </c>
      <c r="D264">
        <v>171</v>
      </c>
      <c r="E264">
        <v>5.5</v>
      </c>
      <c r="F264" t="s">
        <v>31</v>
      </c>
      <c r="G264">
        <v>1995</v>
      </c>
      <c r="H264" t="s">
        <v>25</v>
      </c>
      <c r="I264" s="2">
        <v>45456</v>
      </c>
      <c r="J264" t="str">
        <f t="shared" si="24"/>
        <v>Long</v>
      </c>
      <c r="K264" t="str" cm="1">
        <f t="array" ref="K264">_xlfn.IFS(E264&lt;4, "Poor", E264&lt;7, "Average", E264&lt;9, "Good", TRUE, "Excellent")</f>
        <v>Average</v>
      </c>
      <c r="L264" t="str">
        <f t="shared" si="25"/>
        <v>M1262 - Movie_262</v>
      </c>
      <c r="M264" t="str">
        <f t="shared" si="26"/>
        <v>Fre</v>
      </c>
      <c r="N264" t="str">
        <f t="shared" si="27"/>
        <v>95</v>
      </c>
      <c r="O264">
        <f t="shared" si="28"/>
        <v>9</v>
      </c>
      <c r="P264" t="str">
        <f t="shared" si="29"/>
        <v>Horror</v>
      </c>
    </row>
    <row r="265" spans="1:16">
      <c r="A265" t="s">
        <v>560</v>
      </c>
      <c r="B265" t="s">
        <v>561</v>
      </c>
      <c r="C265" t="s">
        <v>58</v>
      </c>
      <c r="D265">
        <v>128</v>
      </c>
      <c r="E265">
        <v>9.5</v>
      </c>
      <c r="F265" t="s">
        <v>35</v>
      </c>
      <c r="G265">
        <v>1995</v>
      </c>
      <c r="H265" t="s">
        <v>20</v>
      </c>
      <c r="I265" s="2">
        <v>44321</v>
      </c>
      <c r="J265" t="str">
        <f t="shared" si="24"/>
        <v>Long</v>
      </c>
      <c r="K265" t="str" cm="1">
        <f t="array" ref="K265">_xlfn.IFS(E265&lt;4, "Poor", E265&lt;7, "Average", E265&lt;9, "Good", TRUE, "Excellent")</f>
        <v>Excellent</v>
      </c>
      <c r="L265" t="str">
        <f t="shared" si="25"/>
        <v>M1263 - Movie_263</v>
      </c>
      <c r="M265" t="str">
        <f t="shared" si="26"/>
        <v>Eng</v>
      </c>
      <c r="N265" t="str">
        <f t="shared" si="27"/>
        <v>95</v>
      </c>
      <c r="O265">
        <f t="shared" si="28"/>
        <v>9</v>
      </c>
      <c r="P265" t="str">
        <f t="shared" si="29"/>
        <v>Sci-Fi</v>
      </c>
    </row>
    <row r="266" spans="1:16">
      <c r="A266" t="s">
        <v>562</v>
      </c>
      <c r="B266" t="s">
        <v>563</v>
      </c>
      <c r="C266" t="s">
        <v>58</v>
      </c>
      <c r="D266">
        <v>142</v>
      </c>
      <c r="E266">
        <v>1.4</v>
      </c>
      <c r="F266" t="s">
        <v>31</v>
      </c>
      <c r="G266">
        <v>1983</v>
      </c>
      <c r="H266" t="s">
        <v>25</v>
      </c>
      <c r="I266" s="2">
        <v>44844</v>
      </c>
      <c r="J266" t="str">
        <f t="shared" si="24"/>
        <v>Long</v>
      </c>
      <c r="K266" t="str" cm="1">
        <f t="array" ref="K266">_xlfn.IFS(E266&lt;4, "Poor", E266&lt;7, "Average", E266&lt;9, "Good", TRUE, "Excellent")</f>
        <v>Poor</v>
      </c>
      <c r="L266" t="str">
        <f t="shared" si="25"/>
        <v>M1264 - Movie_264</v>
      </c>
      <c r="M266" t="str">
        <f t="shared" si="26"/>
        <v>Fre</v>
      </c>
      <c r="N266" t="str">
        <f t="shared" si="27"/>
        <v>83</v>
      </c>
      <c r="O266">
        <f t="shared" si="28"/>
        <v>9</v>
      </c>
      <c r="P266" t="str">
        <f t="shared" si="29"/>
        <v>Sci-Fi</v>
      </c>
    </row>
    <row r="267" spans="1:16">
      <c r="A267" t="s">
        <v>564</v>
      </c>
      <c r="B267" t="s">
        <v>565</v>
      </c>
      <c r="C267" t="s">
        <v>67</v>
      </c>
      <c r="D267">
        <v>122</v>
      </c>
      <c r="E267">
        <v>8</v>
      </c>
      <c r="F267" t="s">
        <v>61</v>
      </c>
      <c r="G267">
        <v>2022</v>
      </c>
      <c r="H267" t="s">
        <v>25</v>
      </c>
      <c r="I267" s="2">
        <v>44621</v>
      </c>
      <c r="J267" t="str">
        <f t="shared" si="24"/>
        <v>Long</v>
      </c>
      <c r="K267" t="str" cm="1">
        <f t="array" ref="K267">_xlfn.IFS(E267&lt;4, "Poor", E267&lt;7, "Average", E267&lt;9, "Good", TRUE, "Excellent")</f>
        <v>Good</v>
      </c>
      <c r="L267" t="str">
        <f t="shared" si="25"/>
        <v>M1265 - Movie_265</v>
      </c>
      <c r="M267" t="str">
        <f t="shared" si="26"/>
        <v>Ger</v>
      </c>
      <c r="N267" t="str">
        <f t="shared" si="27"/>
        <v>22</v>
      </c>
      <c r="O267">
        <f t="shared" si="28"/>
        <v>9</v>
      </c>
      <c r="P267" t="str">
        <f t="shared" si="29"/>
        <v>Thriller</v>
      </c>
    </row>
    <row r="268" spans="1:16">
      <c r="A268" t="s">
        <v>566</v>
      </c>
      <c r="B268" t="s">
        <v>567</v>
      </c>
      <c r="C268" t="s">
        <v>40</v>
      </c>
      <c r="D268">
        <v>82</v>
      </c>
      <c r="E268">
        <v>8.8000000000000007</v>
      </c>
      <c r="F268" t="s">
        <v>61</v>
      </c>
      <c r="G268">
        <v>2013</v>
      </c>
      <c r="H268" t="s">
        <v>20</v>
      </c>
      <c r="I268" s="2">
        <v>44061</v>
      </c>
      <c r="J268" t="str">
        <f t="shared" si="24"/>
        <v>Short</v>
      </c>
      <c r="K268" t="str" cm="1">
        <f t="array" ref="K268">_xlfn.IFS(E268&lt;4, "Poor", E268&lt;7, "Average", E268&lt;9, "Good", TRUE, "Excellent")</f>
        <v>Good</v>
      </c>
      <c r="L268" t="str">
        <f t="shared" si="25"/>
        <v>M1266 - Movie_266</v>
      </c>
      <c r="M268" t="str">
        <f t="shared" si="26"/>
        <v>Ger</v>
      </c>
      <c r="N268" t="str">
        <f t="shared" si="27"/>
        <v>13</v>
      </c>
      <c r="O268">
        <f t="shared" si="28"/>
        <v>9</v>
      </c>
      <c r="P268" t="str">
        <f t="shared" si="29"/>
        <v>Comedy</v>
      </c>
    </row>
    <row r="269" spans="1:16">
      <c r="A269" t="s">
        <v>568</v>
      </c>
      <c r="B269" t="s">
        <v>569</v>
      </c>
      <c r="C269" t="s">
        <v>67</v>
      </c>
      <c r="D269">
        <v>131</v>
      </c>
      <c r="E269">
        <v>5.7</v>
      </c>
      <c r="F269" t="s">
        <v>19</v>
      </c>
      <c r="G269">
        <v>1994</v>
      </c>
      <c r="H269" t="s">
        <v>25</v>
      </c>
      <c r="I269" s="2">
        <v>44324</v>
      </c>
      <c r="J269" t="str">
        <f t="shared" si="24"/>
        <v>Long</v>
      </c>
      <c r="K269" t="str" cm="1">
        <f t="array" ref="K269">_xlfn.IFS(E269&lt;4, "Poor", E269&lt;7, "Average", E269&lt;9, "Good", TRUE, "Excellent")</f>
        <v>Average</v>
      </c>
      <c r="L269" t="str">
        <f t="shared" si="25"/>
        <v>M1267 - Movie_267</v>
      </c>
      <c r="M269" t="str">
        <f t="shared" si="26"/>
        <v>Jap</v>
      </c>
      <c r="N269" t="str">
        <f t="shared" si="27"/>
        <v>94</v>
      </c>
      <c r="O269">
        <f t="shared" si="28"/>
        <v>9</v>
      </c>
      <c r="P269" t="str">
        <f t="shared" si="29"/>
        <v>Thriller</v>
      </c>
    </row>
    <row r="270" spans="1:16">
      <c r="A270" t="s">
        <v>570</v>
      </c>
      <c r="B270" t="s">
        <v>571</v>
      </c>
      <c r="C270" t="s">
        <v>67</v>
      </c>
      <c r="D270">
        <v>175</v>
      </c>
      <c r="E270">
        <v>5.0999999999999996</v>
      </c>
      <c r="F270" t="s">
        <v>61</v>
      </c>
      <c r="G270">
        <v>2020</v>
      </c>
      <c r="H270" t="s">
        <v>25</v>
      </c>
      <c r="I270" s="2">
        <v>44854</v>
      </c>
      <c r="J270" t="str">
        <f t="shared" si="24"/>
        <v>Long</v>
      </c>
      <c r="K270" t="str" cm="1">
        <f t="array" ref="K270">_xlfn.IFS(E270&lt;4, "Poor", E270&lt;7, "Average", E270&lt;9, "Good", TRUE, "Excellent")</f>
        <v>Average</v>
      </c>
      <c r="L270" t="str">
        <f t="shared" si="25"/>
        <v>M1268 - Movie_268</v>
      </c>
      <c r="M270" t="str">
        <f t="shared" si="26"/>
        <v>Ger</v>
      </c>
      <c r="N270" t="str">
        <f t="shared" si="27"/>
        <v>20</v>
      </c>
      <c r="O270">
        <f t="shared" si="28"/>
        <v>9</v>
      </c>
      <c r="P270" t="str">
        <f t="shared" si="29"/>
        <v>Thriller</v>
      </c>
    </row>
    <row r="271" spans="1:16">
      <c r="A271" t="s">
        <v>572</v>
      </c>
      <c r="B271" t="s">
        <v>573</v>
      </c>
      <c r="C271" t="s">
        <v>40</v>
      </c>
      <c r="D271">
        <v>122</v>
      </c>
      <c r="E271">
        <v>9.6999999999999993</v>
      </c>
      <c r="F271" t="s">
        <v>61</v>
      </c>
      <c r="G271">
        <v>1994</v>
      </c>
      <c r="H271" t="s">
        <v>25</v>
      </c>
      <c r="I271" s="2">
        <v>45137</v>
      </c>
      <c r="J271" t="str">
        <f t="shared" si="24"/>
        <v>Long</v>
      </c>
      <c r="K271" t="str" cm="1">
        <f t="array" ref="K271">_xlfn.IFS(E271&lt;4, "Poor", E271&lt;7, "Average", E271&lt;9, "Good", TRUE, "Excellent")</f>
        <v>Excellent</v>
      </c>
      <c r="L271" t="str">
        <f t="shared" si="25"/>
        <v>M1269 - Movie_269</v>
      </c>
      <c r="M271" t="str">
        <f t="shared" si="26"/>
        <v>Ger</v>
      </c>
      <c r="N271" t="str">
        <f t="shared" si="27"/>
        <v>94</v>
      </c>
      <c r="O271">
        <f t="shared" si="28"/>
        <v>9</v>
      </c>
      <c r="P271" t="str">
        <f t="shared" si="29"/>
        <v>Comedy</v>
      </c>
    </row>
    <row r="272" spans="1:16">
      <c r="A272" t="s">
        <v>574</v>
      </c>
      <c r="B272" t="s">
        <v>575</v>
      </c>
      <c r="C272" t="s">
        <v>23</v>
      </c>
      <c r="D272">
        <v>178</v>
      </c>
      <c r="E272">
        <v>1.5</v>
      </c>
      <c r="F272" t="s">
        <v>31</v>
      </c>
      <c r="G272">
        <v>1983</v>
      </c>
      <c r="H272" t="s">
        <v>20</v>
      </c>
      <c r="I272" s="2">
        <v>45047</v>
      </c>
      <c r="J272" t="str">
        <f t="shared" si="24"/>
        <v>Long</v>
      </c>
      <c r="K272" t="str" cm="1">
        <f t="array" ref="K272">_xlfn.IFS(E272&lt;4, "Poor", E272&lt;7, "Average", E272&lt;9, "Good", TRUE, "Excellent")</f>
        <v>Poor</v>
      </c>
      <c r="L272" t="str">
        <f t="shared" si="25"/>
        <v>M1270 - Movie_270</v>
      </c>
      <c r="M272" t="str">
        <f t="shared" si="26"/>
        <v>Fre</v>
      </c>
      <c r="N272" t="str">
        <f t="shared" si="27"/>
        <v>83</v>
      </c>
      <c r="O272">
        <f t="shared" si="28"/>
        <v>9</v>
      </c>
      <c r="P272" t="str">
        <f t="shared" si="29"/>
        <v>Action</v>
      </c>
    </row>
    <row r="273" spans="1:16">
      <c r="A273" t="s">
        <v>576</v>
      </c>
      <c r="B273" t="s">
        <v>577</v>
      </c>
      <c r="C273" t="s">
        <v>23</v>
      </c>
      <c r="D273">
        <v>157</v>
      </c>
      <c r="E273">
        <v>5.3</v>
      </c>
      <c r="F273" t="s">
        <v>28</v>
      </c>
      <c r="G273">
        <v>1986</v>
      </c>
      <c r="H273" t="s">
        <v>20</v>
      </c>
      <c r="I273" s="2">
        <v>43976</v>
      </c>
      <c r="J273" t="str">
        <f t="shared" si="24"/>
        <v>Long</v>
      </c>
      <c r="K273" t="str" cm="1">
        <f t="array" ref="K273">_xlfn.IFS(E273&lt;4, "Poor", E273&lt;7, "Average", E273&lt;9, "Good", TRUE, "Excellent")</f>
        <v>Average</v>
      </c>
      <c r="L273" t="str">
        <f t="shared" si="25"/>
        <v>M1271 - Movie_271</v>
      </c>
      <c r="M273" t="str">
        <f t="shared" si="26"/>
        <v>Spa</v>
      </c>
      <c r="N273" t="str">
        <f t="shared" si="27"/>
        <v>86</v>
      </c>
      <c r="O273">
        <f t="shared" si="28"/>
        <v>9</v>
      </c>
      <c r="P273" t="str">
        <f t="shared" si="29"/>
        <v>Action</v>
      </c>
    </row>
    <row r="274" spans="1:16">
      <c r="A274" t="s">
        <v>578</v>
      </c>
      <c r="B274" t="s">
        <v>579</v>
      </c>
      <c r="C274" t="s">
        <v>18</v>
      </c>
      <c r="D274">
        <v>146</v>
      </c>
      <c r="E274">
        <v>4.5999999999999996</v>
      </c>
      <c r="F274" t="s">
        <v>61</v>
      </c>
      <c r="G274">
        <v>2006</v>
      </c>
      <c r="H274" t="s">
        <v>20</v>
      </c>
      <c r="I274" s="2">
        <v>44912</v>
      </c>
      <c r="J274" t="str">
        <f t="shared" si="24"/>
        <v>Long</v>
      </c>
      <c r="K274" t="str" cm="1">
        <f t="array" ref="K274">_xlfn.IFS(E274&lt;4, "Poor", E274&lt;7, "Average", E274&lt;9, "Good", TRUE, "Excellent")</f>
        <v>Average</v>
      </c>
      <c r="L274" t="str">
        <f t="shared" si="25"/>
        <v>M1272 - Movie_272</v>
      </c>
      <c r="M274" t="str">
        <f t="shared" si="26"/>
        <v>Ger</v>
      </c>
      <c r="N274" t="str">
        <f t="shared" si="27"/>
        <v>06</v>
      </c>
      <c r="O274">
        <f t="shared" si="28"/>
        <v>9</v>
      </c>
      <c r="P274" t="str">
        <f t="shared" si="29"/>
        <v>Horror</v>
      </c>
    </row>
    <row r="275" spans="1:16">
      <c r="A275" t="s">
        <v>580</v>
      </c>
      <c r="B275" t="s">
        <v>581</v>
      </c>
      <c r="C275" t="s">
        <v>67</v>
      </c>
      <c r="D275">
        <v>67</v>
      </c>
      <c r="E275">
        <v>7.2</v>
      </c>
      <c r="F275" t="s">
        <v>19</v>
      </c>
      <c r="G275">
        <v>2001</v>
      </c>
      <c r="H275" t="s">
        <v>25</v>
      </c>
      <c r="I275" s="2">
        <v>43855</v>
      </c>
      <c r="J275" t="str">
        <f t="shared" si="24"/>
        <v>Short</v>
      </c>
      <c r="K275" t="str" cm="1">
        <f t="array" ref="K275">_xlfn.IFS(E275&lt;4, "Poor", E275&lt;7, "Average", E275&lt;9, "Good", TRUE, "Excellent")</f>
        <v>Good</v>
      </c>
      <c r="L275" t="str">
        <f t="shared" si="25"/>
        <v>M1273 - Movie_273</v>
      </c>
      <c r="M275" t="str">
        <f t="shared" si="26"/>
        <v>Jap</v>
      </c>
      <c r="N275" t="str">
        <f t="shared" si="27"/>
        <v>01</v>
      </c>
      <c r="O275">
        <f t="shared" si="28"/>
        <v>9</v>
      </c>
      <c r="P275" t="str">
        <f t="shared" si="29"/>
        <v>Thriller</v>
      </c>
    </row>
    <row r="276" spans="1:16">
      <c r="A276" t="s">
        <v>582</v>
      </c>
      <c r="B276" t="s">
        <v>583</v>
      </c>
      <c r="C276" t="s">
        <v>34</v>
      </c>
      <c r="D276">
        <v>186</v>
      </c>
      <c r="E276">
        <v>5.4</v>
      </c>
      <c r="F276" t="s">
        <v>61</v>
      </c>
      <c r="G276">
        <v>2025</v>
      </c>
      <c r="H276" t="s">
        <v>20</v>
      </c>
      <c r="I276" s="2">
        <v>44570</v>
      </c>
      <c r="J276" t="str">
        <f t="shared" si="24"/>
        <v>Long</v>
      </c>
      <c r="K276" t="str" cm="1">
        <f t="array" ref="K276">_xlfn.IFS(E276&lt;4, "Poor", E276&lt;7, "Average", E276&lt;9, "Good", TRUE, "Excellent")</f>
        <v>Average</v>
      </c>
      <c r="L276" t="str">
        <f t="shared" si="25"/>
        <v>M1274 - Movie_274</v>
      </c>
      <c r="M276" t="str">
        <f t="shared" si="26"/>
        <v>Ger</v>
      </c>
      <c r="N276" t="str">
        <f t="shared" si="27"/>
        <v>25</v>
      </c>
      <c r="O276">
        <f t="shared" si="28"/>
        <v>9</v>
      </c>
      <c r="P276" t="str">
        <f t="shared" si="29"/>
        <v>Drama</v>
      </c>
    </row>
    <row r="277" spans="1:16">
      <c r="A277" t="s">
        <v>584</v>
      </c>
      <c r="B277" t="s">
        <v>585</v>
      </c>
      <c r="C277" t="s">
        <v>67</v>
      </c>
      <c r="D277">
        <v>143</v>
      </c>
      <c r="E277">
        <v>9.1999999999999993</v>
      </c>
      <c r="F277" t="s">
        <v>31</v>
      </c>
      <c r="G277">
        <v>2010</v>
      </c>
      <c r="H277" t="s">
        <v>20</v>
      </c>
      <c r="I277" s="2">
        <v>44479</v>
      </c>
      <c r="J277" t="str">
        <f t="shared" si="24"/>
        <v>Long</v>
      </c>
      <c r="K277" t="str" cm="1">
        <f t="array" ref="K277">_xlfn.IFS(E277&lt;4, "Poor", E277&lt;7, "Average", E277&lt;9, "Good", TRUE, "Excellent")</f>
        <v>Excellent</v>
      </c>
      <c r="L277" t="str">
        <f t="shared" si="25"/>
        <v>M1275 - Movie_275</v>
      </c>
      <c r="M277" t="str">
        <f t="shared" si="26"/>
        <v>Fre</v>
      </c>
      <c r="N277" t="str">
        <f t="shared" si="27"/>
        <v>10</v>
      </c>
      <c r="O277">
        <f t="shared" si="28"/>
        <v>9</v>
      </c>
      <c r="P277" t="str">
        <f t="shared" si="29"/>
        <v>Thriller</v>
      </c>
    </row>
    <row r="278" spans="1:16">
      <c r="A278" t="s">
        <v>586</v>
      </c>
      <c r="B278" t="s">
        <v>587</v>
      </c>
      <c r="C278" t="s">
        <v>67</v>
      </c>
      <c r="D278">
        <v>106</v>
      </c>
      <c r="E278">
        <v>1.7</v>
      </c>
      <c r="F278" t="s">
        <v>24</v>
      </c>
      <c r="G278">
        <v>1986</v>
      </c>
      <c r="H278" t="s">
        <v>25</v>
      </c>
      <c r="I278" s="2">
        <v>44101</v>
      </c>
      <c r="J278" t="str">
        <f t="shared" si="24"/>
        <v>Short</v>
      </c>
      <c r="K278" t="str" cm="1">
        <f t="array" ref="K278">_xlfn.IFS(E278&lt;4, "Poor", E278&lt;7, "Average", E278&lt;9, "Good", TRUE, "Excellent")</f>
        <v>Poor</v>
      </c>
      <c r="L278" t="str">
        <f t="shared" si="25"/>
        <v>M1276 - Movie_276</v>
      </c>
      <c r="M278" t="str">
        <f t="shared" si="26"/>
        <v>Hin</v>
      </c>
      <c r="N278" t="str">
        <f t="shared" si="27"/>
        <v>86</v>
      </c>
      <c r="O278">
        <f t="shared" si="28"/>
        <v>9</v>
      </c>
      <c r="P278" t="str">
        <f t="shared" si="29"/>
        <v>Thriller</v>
      </c>
    </row>
    <row r="279" spans="1:16">
      <c r="A279" t="s">
        <v>588</v>
      </c>
      <c r="B279" t="s">
        <v>589</v>
      </c>
      <c r="C279" t="s">
        <v>67</v>
      </c>
      <c r="D279">
        <v>184</v>
      </c>
      <c r="E279">
        <v>1.7</v>
      </c>
      <c r="F279" t="s">
        <v>31</v>
      </c>
      <c r="G279">
        <v>2023</v>
      </c>
      <c r="H279" t="s">
        <v>25</v>
      </c>
      <c r="I279" s="2">
        <v>44623</v>
      </c>
      <c r="J279" t="str">
        <f t="shared" si="24"/>
        <v>Long</v>
      </c>
      <c r="K279" t="str" cm="1">
        <f t="array" ref="K279">_xlfn.IFS(E279&lt;4, "Poor", E279&lt;7, "Average", E279&lt;9, "Good", TRUE, "Excellent")</f>
        <v>Poor</v>
      </c>
      <c r="L279" t="str">
        <f t="shared" si="25"/>
        <v>M1277 - Movie_277</v>
      </c>
      <c r="M279" t="str">
        <f t="shared" si="26"/>
        <v>Fre</v>
      </c>
      <c r="N279" t="str">
        <f t="shared" si="27"/>
        <v>23</v>
      </c>
      <c r="O279">
        <f t="shared" si="28"/>
        <v>9</v>
      </c>
      <c r="P279" t="str">
        <f t="shared" si="29"/>
        <v>Thriller</v>
      </c>
    </row>
    <row r="280" spans="1:16">
      <c r="A280" t="s">
        <v>590</v>
      </c>
      <c r="B280" t="s">
        <v>591</v>
      </c>
      <c r="C280" t="s">
        <v>18</v>
      </c>
      <c r="D280">
        <v>114</v>
      </c>
      <c r="E280">
        <v>6.5</v>
      </c>
      <c r="F280" t="s">
        <v>35</v>
      </c>
      <c r="G280">
        <v>1988</v>
      </c>
      <c r="H280" t="s">
        <v>25</v>
      </c>
      <c r="I280" s="2">
        <v>44995</v>
      </c>
      <c r="J280" t="str">
        <f t="shared" si="24"/>
        <v>Short</v>
      </c>
      <c r="K280" t="str" cm="1">
        <f t="array" ref="K280">_xlfn.IFS(E280&lt;4, "Poor", E280&lt;7, "Average", E280&lt;9, "Good", TRUE, "Excellent")</f>
        <v>Average</v>
      </c>
      <c r="L280" t="str">
        <f t="shared" si="25"/>
        <v>M1278 - Movie_278</v>
      </c>
      <c r="M280" t="str">
        <f t="shared" si="26"/>
        <v>Eng</v>
      </c>
      <c r="N280" t="str">
        <f t="shared" si="27"/>
        <v>88</v>
      </c>
      <c r="O280">
        <f t="shared" si="28"/>
        <v>9</v>
      </c>
      <c r="P280" t="str">
        <f t="shared" si="29"/>
        <v>Horror</v>
      </c>
    </row>
    <row r="281" spans="1:16">
      <c r="A281" t="s">
        <v>592</v>
      </c>
      <c r="B281" t="s">
        <v>593</v>
      </c>
      <c r="C281" t="s">
        <v>23</v>
      </c>
      <c r="D281">
        <v>150</v>
      </c>
      <c r="E281">
        <v>1.6</v>
      </c>
      <c r="F281" t="s">
        <v>19</v>
      </c>
      <c r="G281">
        <v>1980</v>
      </c>
      <c r="H281" t="s">
        <v>25</v>
      </c>
      <c r="I281" s="2">
        <v>44692</v>
      </c>
      <c r="J281" t="str">
        <f t="shared" si="24"/>
        <v>Long</v>
      </c>
      <c r="K281" t="str" cm="1">
        <f t="array" ref="K281">_xlfn.IFS(E281&lt;4, "Poor", E281&lt;7, "Average", E281&lt;9, "Good", TRUE, "Excellent")</f>
        <v>Poor</v>
      </c>
      <c r="L281" t="str">
        <f t="shared" si="25"/>
        <v>M1279 - Movie_279</v>
      </c>
      <c r="M281" t="str">
        <f t="shared" si="26"/>
        <v>Jap</v>
      </c>
      <c r="N281" t="str">
        <f t="shared" si="27"/>
        <v>80</v>
      </c>
      <c r="O281">
        <f t="shared" si="28"/>
        <v>9</v>
      </c>
      <c r="P281" t="str">
        <f t="shared" si="29"/>
        <v>Action</v>
      </c>
    </row>
    <row r="282" spans="1:16">
      <c r="A282" t="s">
        <v>594</v>
      </c>
      <c r="B282" t="s">
        <v>595</v>
      </c>
      <c r="C282" t="s">
        <v>18</v>
      </c>
      <c r="D282">
        <v>126</v>
      </c>
      <c r="E282">
        <v>3.5</v>
      </c>
      <c r="F282" t="s">
        <v>61</v>
      </c>
      <c r="G282">
        <v>2015</v>
      </c>
      <c r="H282" t="s">
        <v>20</v>
      </c>
      <c r="I282" s="2">
        <v>44579</v>
      </c>
      <c r="J282" t="str">
        <f t="shared" si="24"/>
        <v>Long</v>
      </c>
      <c r="K282" t="str" cm="1">
        <f t="array" ref="K282">_xlfn.IFS(E282&lt;4, "Poor", E282&lt;7, "Average", E282&lt;9, "Good", TRUE, "Excellent")</f>
        <v>Poor</v>
      </c>
      <c r="L282" t="str">
        <f t="shared" si="25"/>
        <v>M1280 - Movie_280</v>
      </c>
      <c r="M282" t="str">
        <f t="shared" si="26"/>
        <v>Ger</v>
      </c>
      <c r="N282" t="str">
        <f t="shared" si="27"/>
        <v>15</v>
      </c>
      <c r="O282">
        <f t="shared" si="28"/>
        <v>9</v>
      </c>
      <c r="P282" t="str">
        <f t="shared" si="29"/>
        <v>Horror</v>
      </c>
    </row>
    <row r="283" spans="1:16">
      <c r="A283" t="s">
        <v>596</v>
      </c>
      <c r="B283" t="s">
        <v>597</v>
      </c>
      <c r="C283" t="s">
        <v>18</v>
      </c>
      <c r="D283">
        <v>147</v>
      </c>
      <c r="E283">
        <v>6.7</v>
      </c>
      <c r="F283" t="s">
        <v>35</v>
      </c>
      <c r="G283">
        <v>1990</v>
      </c>
      <c r="H283" t="s">
        <v>20</v>
      </c>
      <c r="I283" s="2">
        <v>44949</v>
      </c>
      <c r="J283" t="str">
        <f t="shared" si="24"/>
        <v>Long</v>
      </c>
      <c r="K283" t="str" cm="1">
        <f t="array" ref="K283">_xlfn.IFS(E283&lt;4, "Poor", E283&lt;7, "Average", E283&lt;9, "Good", TRUE, "Excellent")</f>
        <v>Average</v>
      </c>
      <c r="L283" t="str">
        <f t="shared" si="25"/>
        <v>M1281 - Movie_281</v>
      </c>
      <c r="M283" t="str">
        <f t="shared" si="26"/>
        <v>Eng</v>
      </c>
      <c r="N283" t="str">
        <f t="shared" si="27"/>
        <v>90</v>
      </c>
      <c r="O283">
        <f t="shared" si="28"/>
        <v>9</v>
      </c>
      <c r="P283" t="str">
        <f t="shared" si="29"/>
        <v>Horror</v>
      </c>
    </row>
    <row r="284" spans="1:16">
      <c r="A284" t="s">
        <v>598</v>
      </c>
      <c r="B284" t="s">
        <v>599</v>
      </c>
      <c r="C284" t="s">
        <v>18</v>
      </c>
      <c r="D284">
        <v>131</v>
      </c>
      <c r="E284">
        <v>5.9</v>
      </c>
      <c r="F284" t="s">
        <v>61</v>
      </c>
      <c r="G284">
        <v>2006</v>
      </c>
      <c r="H284" t="s">
        <v>20</v>
      </c>
      <c r="I284" s="2">
        <v>45229</v>
      </c>
      <c r="J284" t="str">
        <f t="shared" si="24"/>
        <v>Long</v>
      </c>
      <c r="K284" t="str" cm="1">
        <f t="array" ref="K284">_xlfn.IFS(E284&lt;4, "Poor", E284&lt;7, "Average", E284&lt;9, "Good", TRUE, "Excellent")</f>
        <v>Average</v>
      </c>
      <c r="L284" t="str">
        <f t="shared" si="25"/>
        <v>M1282 - Movie_282</v>
      </c>
      <c r="M284" t="str">
        <f t="shared" si="26"/>
        <v>Ger</v>
      </c>
      <c r="N284" t="str">
        <f t="shared" si="27"/>
        <v>06</v>
      </c>
      <c r="O284">
        <f t="shared" si="28"/>
        <v>9</v>
      </c>
      <c r="P284" t="str">
        <f t="shared" si="29"/>
        <v>Horror</v>
      </c>
    </row>
    <row r="285" spans="1:16">
      <c r="A285" t="s">
        <v>600</v>
      </c>
      <c r="B285" t="s">
        <v>601</v>
      </c>
      <c r="C285" t="s">
        <v>23</v>
      </c>
      <c r="D285">
        <v>130</v>
      </c>
      <c r="E285">
        <v>3.9</v>
      </c>
      <c r="F285" t="s">
        <v>24</v>
      </c>
      <c r="G285">
        <v>2021</v>
      </c>
      <c r="H285" t="s">
        <v>25</v>
      </c>
      <c r="I285" s="2">
        <v>44184</v>
      </c>
      <c r="J285" t="str">
        <f t="shared" si="24"/>
        <v>Long</v>
      </c>
      <c r="K285" t="str" cm="1">
        <f t="array" ref="K285">_xlfn.IFS(E285&lt;4, "Poor", E285&lt;7, "Average", E285&lt;9, "Good", TRUE, "Excellent")</f>
        <v>Poor</v>
      </c>
      <c r="L285" t="str">
        <f t="shared" si="25"/>
        <v>M1283 - Movie_283</v>
      </c>
      <c r="M285" t="str">
        <f t="shared" si="26"/>
        <v>Hin</v>
      </c>
      <c r="N285" t="str">
        <f t="shared" si="27"/>
        <v>21</v>
      </c>
      <c r="O285">
        <f t="shared" si="28"/>
        <v>9</v>
      </c>
      <c r="P285" t="str">
        <f t="shared" si="29"/>
        <v>Action</v>
      </c>
    </row>
    <row r="286" spans="1:16">
      <c r="A286" t="s">
        <v>602</v>
      </c>
      <c r="B286" t="s">
        <v>603</v>
      </c>
      <c r="C286" t="s">
        <v>23</v>
      </c>
      <c r="D286">
        <v>62</v>
      </c>
      <c r="E286">
        <v>10</v>
      </c>
      <c r="F286" t="s">
        <v>28</v>
      </c>
      <c r="G286">
        <v>2010</v>
      </c>
      <c r="H286" t="s">
        <v>25</v>
      </c>
      <c r="I286" s="2">
        <v>45393</v>
      </c>
      <c r="J286" t="str">
        <f t="shared" si="24"/>
        <v>Short</v>
      </c>
      <c r="K286" t="str" cm="1">
        <f t="array" ref="K286">_xlfn.IFS(E286&lt;4, "Poor", E286&lt;7, "Average", E286&lt;9, "Good", TRUE, "Excellent")</f>
        <v>Excellent</v>
      </c>
      <c r="L286" t="str">
        <f t="shared" si="25"/>
        <v>M1284 - Movie_284</v>
      </c>
      <c r="M286" t="str">
        <f t="shared" si="26"/>
        <v>Spa</v>
      </c>
      <c r="N286" t="str">
        <f t="shared" si="27"/>
        <v>10</v>
      </c>
      <c r="O286">
        <f t="shared" si="28"/>
        <v>9</v>
      </c>
      <c r="P286" t="str">
        <f t="shared" si="29"/>
        <v>Action</v>
      </c>
    </row>
    <row r="287" spans="1:16">
      <c r="A287" t="s">
        <v>604</v>
      </c>
      <c r="B287" t="s">
        <v>605</v>
      </c>
      <c r="C287" t="s">
        <v>67</v>
      </c>
      <c r="D287">
        <v>192</v>
      </c>
      <c r="E287">
        <v>5.8</v>
      </c>
      <c r="F287" t="s">
        <v>24</v>
      </c>
      <c r="G287">
        <v>2010</v>
      </c>
      <c r="H287" t="s">
        <v>25</v>
      </c>
      <c r="I287" s="2">
        <v>44795</v>
      </c>
      <c r="J287" t="str">
        <f t="shared" si="24"/>
        <v>Long</v>
      </c>
      <c r="K287" t="str" cm="1">
        <f t="array" ref="K287">_xlfn.IFS(E287&lt;4, "Poor", E287&lt;7, "Average", E287&lt;9, "Good", TRUE, "Excellent")</f>
        <v>Average</v>
      </c>
      <c r="L287" t="str">
        <f t="shared" si="25"/>
        <v>M1285 - Movie_285</v>
      </c>
      <c r="M287" t="str">
        <f t="shared" si="26"/>
        <v>Hin</v>
      </c>
      <c r="N287" t="str">
        <f t="shared" si="27"/>
        <v>10</v>
      </c>
      <c r="O287">
        <f t="shared" si="28"/>
        <v>9</v>
      </c>
      <c r="P287" t="str">
        <f t="shared" si="29"/>
        <v>Thriller</v>
      </c>
    </row>
    <row r="288" spans="1:16">
      <c r="A288" t="s">
        <v>606</v>
      </c>
      <c r="B288" t="s">
        <v>607</v>
      </c>
      <c r="C288" t="s">
        <v>18</v>
      </c>
      <c r="D288">
        <v>108</v>
      </c>
      <c r="E288">
        <v>5.0999999999999996</v>
      </c>
      <c r="F288" t="s">
        <v>31</v>
      </c>
      <c r="G288">
        <v>2021</v>
      </c>
      <c r="H288" t="s">
        <v>25</v>
      </c>
      <c r="I288" s="2">
        <v>45408</v>
      </c>
      <c r="J288" t="str">
        <f t="shared" si="24"/>
        <v>Short</v>
      </c>
      <c r="K288" t="str" cm="1">
        <f t="array" ref="K288">_xlfn.IFS(E288&lt;4, "Poor", E288&lt;7, "Average", E288&lt;9, "Good", TRUE, "Excellent")</f>
        <v>Average</v>
      </c>
      <c r="L288" t="str">
        <f t="shared" si="25"/>
        <v>M1286 - Movie_286</v>
      </c>
      <c r="M288" t="str">
        <f t="shared" si="26"/>
        <v>Fre</v>
      </c>
      <c r="N288" t="str">
        <f t="shared" si="27"/>
        <v>21</v>
      </c>
      <c r="O288">
        <f t="shared" si="28"/>
        <v>9</v>
      </c>
      <c r="P288" t="str">
        <f t="shared" si="29"/>
        <v>Horror</v>
      </c>
    </row>
    <row r="289" spans="1:16">
      <c r="A289" t="s">
        <v>608</v>
      </c>
      <c r="B289" t="s">
        <v>609</v>
      </c>
      <c r="C289" t="s">
        <v>34</v>
      </c>
      <c r="D289">
        <v>81</v>
      </c>
      <c r="E289">
        <v>6.4</v>
      </c>
      <c r="F289" t="s">
        <v>31</v>
      </c>
      <c r="G289">
        <v>1992</v>
      </c>
      <c r="H289" t="s">
        <v>25</v>
      </c>
      <c r="I289" s="2">
        <v>43980</v>
      </c>
      <c r="J289" t="str">
        <f t="shared" si="24"/>
        <v>Short</v>
      </c>
      <c r="K289" t="str" cm="1">
        <f t="array" ref="K289">_xlfn.IFS(E289&lt;4, "Poor", E289&lt;7, "Average", E289&lt;9, "Good", TRUE, "Excellent")</f>
        <v>Average</v>
      </c>
      <c r="L289" t="str">
        <f t="shared" si="25"/>
        <v>M1287 - Movie_287</v>
      </c>
      <c r="M289" t="str">
        <f t="shared" si="26"/>
        <v>Fre</v>
      </c>
      <c r="N289" t="str">
        <f t="shared" si="27"/>
        <v>92</v>
      </c>
      <c r="O289">
        <f t="shared" si="28"/>
        <v>9</v>
      </c>
      <c r="P289" t="str">
        <f t="shared" si="29"/>
        <v>Drama</v>
      </c>
    </row>
    <row r="290" spans="1:16">
      <c r="A290" t="s">
        <v>610</v>
      </c>
      <c r="B290" t="s">
        <v>611</v>
      </c>
      <c r="C290" t="s">
        <v>23</v>
      </c>
      <c r="D290">
        <v>121</v>
      </c>
      <c r="E290">
        <v>1.9</v>
      </c>
      <c r="F290" t="s">
        <v>35</v>
      </c>
      <c r="G290">
        <v>1998</v>
      </c>
      <c r="H290" t="s">
        <v>20</v>
      </c>
      <c r="I290" s="2">
        <v>43865</v>
      </c>
      <c r="J290" t="str">
        <f t="shared" si="24"/>
        <v>Long</v>
      </c>
      <c r="K290" t="str" cm="1">
        <f t="array" ref="K290">_xlfn.IFS(E290&lt;4, "Poor", E290&lt;7, "Average", E290&lt;9, "Good", TRUE, "Excellent")</f>
        <v>Poor</v>
      </c>
      <c r="L290" t="str">
        <f t="shared" si="25"/>
        <v>M1288 - Movie_288</v>
      </c>
      <c r="M290" t="str">
        <f t="shared" si="26"/>
        <v>Eng</v>
      </c>
      <c r="N290" t="str">
        <f t="shared" si="27"/>
        <v>98</v>
      </c>
      <c r="O290">
        <f t="shared" si="28"/>
        <v>9</v>
      </c>
      <c r="P290" t="str">
        <f t="shared" si="29"/>
        <v>Action</v>
      </c>
    </row>
    <row r="291" spans="1:16">
      <c r="A291" t="s">
        <v>612</v>
      </c>
      <c r="B291" t="s">
        <v>613</v>
      </c>
      <c r="C291" t="s">
        <v>40</v>
      </c>
      <c r="D291">
        <v>164</v>
      </c>
      <c r="E291">
        <v>7.3</v>
      </c>
      <c r="F291" t="s">
        <v>35</v>
      </c>
      <c r="G291">
        <v>2000</v>
      </c>
      <c r="H291" t="s">
        <v>25</v>
      </c>
      <c r="I291" s="2">
        <v>45033</v>
      </c>
      <c r="J291" t="str">
        <f t="shared" si="24"/>
        <v>Long</v>
      </c>
      <c r="K291" t="str" cm="1">
        <f t="array" ref="K291">_xlfn.IFS(E291&lt;4, "Poor", E291&lt;7, "Average", E291&lt;9, "Good", TRUE, "Excellent")</f>
        <v>Good</v>
      </c>
      <c r="L291" t="str">
        <f t="shared" si="25"/>
        <v>M1289 - Movie_289</v>
      </c>
      <c r="M291" t="str">
        <f t="shared" si="26"/>
        <v>Eng</v>
      </c>
      <c r="N291" t="str">
        <f t="shared" si="27"/>
        <v>00</v>
      </c>
      <c r="O291">
        <f t="shared" si="28"/>
        <v>9</v>
      </c>
      <c r="P291" t="str">
        <f t="shared" si="29"/>
        <v>Comedy</v>
      </c>
    </row>
    <row r="292" spans="1:16">
      <c r="A292" t="s">
        <v>614</v>
      </c>
      <c r="B292" t="s">
        <v>615</v>
      </c>
      <c r="C292" t="s">
        <v>40</v>
      </c>
      <c r="D292">
        <v>185</v>
      </c>
      <c r="E292">
        <v>8.6999999999999993</v>
      </c>
      <c r="F292" t="s">
        <v>31</v>
      </c>
      <c r="G292">
        <v>1998</v>
      </c>
      <c r="H292" t="s">
        <v>25</v>
      </c>
      <c r="I292" s="2">
        <v>43969</v>
      </c>
      <c r="J292" t="str">
        <f t="shared" si="24"/>
        <v>Long</v>
      </c>
      <c r="K292" t="str" cm="1">
        <f t="array" ref="K292">_xlfn.IFS(E292&lt;4, "Poor", E292&lt;7, "Average", E292&lt;9, "Good", TRUE, "Excellent")</f>
        <v>Good</v>
      </c>
      <c r="L292" t="str">
        <f t="shared" si="25"/>
        <v>M1290 - Movie_290</v>
      </c>
      <c r="M292" t="str">
        <f t="shared" si="26"/>
        <v>Fre</v>
      </c>
      <c r="N292" t="str">
        <f t="shared" si="27"/>
        <v>98</v>
      </c>
      <c r="O292">
        <f t="shared" si="28"/>
        <v>9</v>
      </c>
      <c r="P292" t="str">
        <f t="shared" si="29"/>
        <v>Comedy</v>
      </c>
    </row>
    <row r="293" spans="1:16">
      <c r="A293" t="s">
        <v>616</v>
      </c>
      <c r="B293" t="s">
        <v>617</v>
      </c>
      <c r="C293" t="s">
        <v>40</v>
      </c>
      <c r="D293">
        <v>121</v>
      </c>
      <c r="E293">
        <v>6.9</v>
      </c>
      <c r="F293" t="s">
        <v>19</v>
      </c>
      <c r="G293">
        <v>2021</v>
      </c>
      <c r="H293" t="s">
        <v>20</v>
      </c>
      <c r="I293" s="2">
        <v>43859</v>
      </c>
      <c r="J293" t="str">
        <f t="shared" si="24"/>
        <v>Long</v>
      </c>
      <c r="K293" t="str" cm="1">
        <f t="array" ref="K293">_xlfn.IFS(E293&lt;4, "Poor", E293&lt;7, "Average", E293&lt;9, "Good", TRUE, "Excellent")</f>
        <v>Average</v>
      </c>
      <c r="L293" t="str">
        <f t="shared" si="25"/>
        <v>M1291 - Movie_291</v>
      </c>
      <c r="M293" t="str">
        <f t="shared" si="26"/>
        <v>Jap</v>
      </c>
      <c r="N293" t="str">
        <f t="shared" si="27"/>
        <v>21</v>
      </c>
      <c r="O293">
        <f t="shared" si="28"/>
        <v>9</v>
      </c>
      <c r="P293" t="str">
        <f t="shared" si="29"/>
        <v>Comedy</v>
      </c>
    </row>
    <row r="294" spans="1:16">
      <c r="A294" t="s">
        <v>618</v>
      </c>
      <c r="B294" t="s">
        <v>619</v>
      </c>
      <c r="C294" t="s">
        <v>58</v>
      </c>
      <c r="D294">
        <v>181</v>
      </c>
      <c r="E294">
        <v>7.9</v>
      </c>
      <c r="F294" t="s">
        <v>31</v>
      </c>
      <c r="G294">
        <v>1983</v>
      </c>
      <c r="H294" t="s">
        <v>25</v>
      </c>
      <c r="I294" s="2">
        <v>44367</v>
      </c>
      <c r="J294" t="str">
        <f t="shared" si="24"/>
        <v>Long</v>
      </c>
      <c r="K294" t="str" cm="1">
        <f t="array" ref="K294">_xlfn.IFS(E294&lt;4, "Poor", E294&lt;7, "Average", E294&lt;9, "Good", TRUE, "Excellent")</f>
        <v>Good</v>
      </c>
      <c r="L294" t="str">
        <f t="shared" si="25"/>
        <v>M1292 - Movie_292</v>
      </c>
      <c r="M294" t="str">
        <f t="shared" si="26"/>
        <v>Fre</v>
      </c>
      <c r="N294" t="str">
        <f t="shared" si="27"/>
        <v>83</v>
      </c>
      <c r="O294">
        <f t="shared" si="28"/>
        <v>9</v>
      </c>
      <c r="P294" t="str">
        <f t="shared" si="29"/>
        <v>Sci-Fi</v>
      </c>
    </row>
    <row r="295" spans="1:16">
      <c r="A295" t="s">
        <v>620</v>
      </c>
      <c r="B295" t="s">
        <v>621</v>
      </c>
      <c r="C295" t="s">
        <v>67</v>
      </c>
      <c r="D295">
        <v>185</v>
      </c>
      <c r="E295">
        <v>7.5</v>
      </c>
      <c r="F295" t="s">
        <v>31</v>
      </c>
      <c r="G295">
        <v>1985</v>
      </c>
      <c r="H295" t="s">
        <v>20</v>
      </c>
      <c r="I295" s="2">
        <v>44272</v>
      </c>
      <c r="J295" t="str">
        <f t="shared" si="24"/>
        <v>Long</v>
      </c>
      <c r="K295" t="str" cm="1">
        <f t="array" ref="K295">_xlfn.IFS(E295&lt;4, "Poor", E295&lt;7, "Average", E295&lt;9, "Good", TRUE, "Excellent")</f>
        <v>Good</v>
      </c>
      <c r="L295" t="str">
        <f t="shared" si="25"/>
        <v>M1293 - Movie_293</v>
      </c>
      <c r="M295" t="str">
        <f t="shared" si="26"/>
        <v>Fre</v>
      </c>
      <c r="N295" t="str">
        <f t="shared" si="27"/>
        <v>85</v>
      </c>
      <c r="O295">
        <f t="shared" si="28"/>
        <v>9</v>
      </c>
      <c r="P295" t="str">
        <f t="shared" si="29"/>
        <v>Thriller</v>
      </c>
    </row>
    <row r="296" spans="1:16">
      <c r="A296" t="s">
        <v>622</v>
      </c>
      <c r="B296" t="s">
        <v>623</v>
      </c>
      <c r="C296" t="s">
        <v>40</v>
      </c>
      <c r="D296">
        <v>174</v>
      </c>
      <c r="E296">
        <v>2.9</v>
      </c>
      <c r="F296" t="s">
        <v>61</v>
      </c>
      <c r="G296">
        <v>2021</v>
      </c>
      <c r="H296" t="s">
        <v>25</v>
      </c>
      <c r="I296" s="2">
        <v>43912</v>
      </c>
      <c r="J296" t="str">
        <f t="shared" si="24"/>
        <v>Long</v>
      </c>
      <c r="K296" t="str" cm="1">
        <f t="array" ref="K296">_xlfn.IFS(E296&lt;4, "Poor", E296&lt;7, "Average", E296&lt;9, "Good", TRUE, "Excellent")</f>
        <v>Poor</v>
      </c>
      <c r="L296" t="str">
        <f t="shared" si="25"/>
        <v>M1294 - Movie_294</v>
      </c>
      <c r="M296" t="str">
        <f t="shared" si="26"/>
        <v>Ger</v>
      </c>
      <c r="N296" t="str">
        <f t="shared" si="27"/>
        <v>21</v>
      </c>
      <c r="O296">
        <f t="shared" si="28"/>
        <v>9</v>
      </c>
      <c r="P296" t="str">
        <f t="shared" si="29"/>
        <v>Comedy</v>
      </c>
    </row>
    <row r="297" spans="1:16">
      <c r="A297" t="s">
        <v>624</v>
      </c>
      <c r="B297" t="s">
        <v>625</v>
      </c>
      <c r="C297" t="s">
        <v>67</v>
      </c>
      <c r="D297">
        <v>64</v>
      </c>
      <c r="E297">
        <v>5.0999999999999996</v>
      </c>
      <c r="F297" t="s">
        <v>24</v>
      </c>
      <c r="G297">
        <v>2016</v>
      </c>
      <c r="H297" t="s">
        <v>20</v>
      </c>
      <c r="I297" s="2">
        <v>43954</v>
      </c>
      <c r="J297" t="str">
        <f t="shared" si="24"/>
        <v>Short</v>
      </c>
      <c r="K297" t="str" cm="1">
        <f t="array" ref="K297">_xlfn.IFS(E297&lt;4, "Poor", E297&lt;7, "Average", E297&lt;9, "Good", TRUE, "Excellent")</f>
        <v>Average</v>
      </c>
      <c r="L297" t="str">
        <f t="shared" si="25"/>
        <v>M1295 - Movie_295</v>
      </c>
      <c r="M297" t="str">
        <f t="shared" si="26"/>
        <v>Hin</v>
      </c>
      <c r="N297" t="str">
        <f t="shared" si="27"/>
        <v>16</v>
      </c>
      <c r="O297">
        <f t="shared" si="28"/>
        <v>9</v>
      </c>
      <c r="P297" t="str">
        <f t="shared" si="29"/>
        <v>Thriller</v>
      </c>
    </row>
    <row r="298" spans="1:16">
      <c r="A298" t="s">
        <v>626</v>
      </c>
      <c r="B298" t="s">
        <v>627</v>
      </c>
      <c r="C298" t="s">
        <v>40</v>
      </c>
      <c r="D298">
        <v>83</v>
      </c>
      <c r="E298">
        <v>3.1</v>
      </c>
      <c r="F298" t="s">
        <v>19</v>
      </c>
      <c r="G298">
        <v>1994</v>
      </c>
      <c r="H298" t="s">
        <v>20</v>
      </c>
      <c r="I298" s="2">
        <v>45447</v>
      </c>
      <c r="J298" t="str">
        <f t="shared" si="24"/>
        <v>Short</v>
      </c>
      <c r="K298" t="str" cm="1">
        <f t="array" ref="K298">_xlfn.IFS(E298&lt;4, "Poor", E298&lt;7, "Average", E298&lt;9, "Good", TRUE, "Excellent")</f>
        <v>Poor</v>
      </c>
      <c r="L298" t="str">
        <f t="shared" si="25"/>
        <v>M1296 - Movie_296</v>
      </c>
      <c r="M298" t="str">
        <f t="shared" si="26"/>
        <v>Jap</v>
      </c>
      <c r="N298" t="str">
        <f t="shared" si="27"/>
        <v>94</v>
      </c>
      <c r="O298">
        <f t="shared" si="28"/>
        <v>9</v>
      </c>
      <c r="P298" t="str">
        <f t="shared" si="29"/>
        <v>Comedy</v>
      </c>
    </row>
    <row r="299" spans="1:16">
      <c r="A299" t="s">
        <v>628</v>
      </c>
      <c r="B299" t="s">
        <v>629</v>
      </c>
      <c r="C299" t="s">
        <v>34</v>
      </c>
      <c r="D299">
        <v>135</v>
      </c>
      <c r="E299">
        <v>4.0999999999999996</v>
      </c>
      <c r="F299" t="s">
        <v>61</v>
      </c>
      <c r="G299">
        <v>2014</v>
      </c>
      <c r="H299" t="s">
        <v>25</v>
      </c>
      <c r="I299" s="2">
        <v>44646</v>
      </c>
      <c r="J299" t="str">
        <f t="shared" si="24"/>
        <v>Long</v>
      </c>
      <c r="K299" t="str" cm="1">
        <f t="array" ref="K299">_xlfn.IFS(E299&lt;4, "Poor", E299&lt;7, "Average", E299&lt;9, "Good", TRUE, "Excellent")</f>
        <v>Average</v>
      </c>
      <c r="L299" t="str">
        <f t="shared" si="25"/>
        <v>M1297 - Movie_297</v>
      </c>
      <c r="M299" t="str">
        <f t="shared" si="26"/>
        <v>Ger</v>
      </c>
      <c r="N299" t="str">
        <f t="shared" si="27"/>
        <v>14</v>
      </c>
      <c r="O299">
        <f t="shared" si="28"/>
        <v>9</v>
      </c>
      <c r="P299" t="str">
        <f t="shared" si="29"/>
        <v>Drama</v>
      </c>
    </row>
    <row r="300" spans="1:16">
      <c r="A300" t="s">
        <v>630</v>
      </c>
      <c r="B300" t="s">
        <v>631</v>
      </c>
      <c r="C300" t="s">
        <v>67</v>
      </c>
      <c r="D300">
        <v>116</v>
      </c>
      <c r="E300">
        <v>5.0999999999999996</v>
      </c>
      <c r="F300" t="s">
        <v>28</v>
      </c>
      <c r="G300">
        <v>1982</v>
      </c>
      <c r="H300" t="s">
        <v>20</v>
      </c>
      <c r="I300" s="2">
        <v>44868</v>
      </c>
      <c r="J300" t="str">
        <f t="shared" si="24"/>
        <v>Short</v>
      </c>
      <c r="K300" t="str" cm="1">
        <f t="array" ref="K300">_xlfn.IFS(E300&lt;4, "Poor", E300&lt;7, "Average", E300&lt;9, "Good", TRUE, "Excellent")</f>
        <v>Average</v>
      </c>
      <c r="L300" t="str">
        <f t="shared" si="25"/>
        <v>M1298 - Movie_298</v>
      </c>
      <c r="M300" t="str">
        <f t="shared" si="26"/>
        <v>Spa</v>
      </c>
      <c r="N300" t="str">
        <f t="shared" si="27"/>
        <v>82</v>
      </c>
      <c r="O300">
        <f t="shared" si="28"/>
        <v>9</v>
      </c>
      <c r="P300" t="str">
        <f t="shared" si="29"/>
        <v>Thriller</v>
      </c>
    </row>
    <row r="301" spans="1:16">
      <c r="A301" t="s">
        <v>632</v>
      </c>
      <c r="B301" t="s">
        <v>633</v>
      </c>
      <c r="C301" t="s">
        <v>40</v>
      </c>
      <c r="D301">
        <v>163</v>
      </c>
      <c r="E301">
        <v>4.7</v>
      </c>
      <c r="F301" t="s">
        <v>19</v>
      </c>
      <c r="G301">
        <v>1991</v>
      </c>
      <c r="H301" t="s">
        <v>25</v>
      </c>
      <c r="I301" s="2">
        <v>44417</v>
      </c>
      <c r="J301" t="str">
        <f t="shared" si="24"/>
        <v>Long</v>
      </c>
      <c r="K301" t="str" cm="1">
        <f t="array" ref="K301">_xlfn.IFS(E301&lt;4, "Poor", E301&lt;7, "Average", E301&lt;9, "Good", TRUE, "Excellent")</f>
        <v>Average</v>
      </c>
      <c r="L301" t="str">
        <f t="shared" si="25"/>
        <v>M1299 - Movie_299</v>
      </c>
      <c r="M301" t="str">
        <f t="shared" si="26"/>
        <v>Jap</v>
      </c>
      <c r="N301" t="str">
        <f t="shared" si="27"/>
        <v>91</v>
      </c>
      <c r="O301">
        <f t="shared" si="28"/>
        <v>9</v>
      </c>
      <c r="P301" t="str">
        <f t="shared" si="29"/>
        <v>Comedy</v>
      </c>
    </row>
    <row r="302" spans="1:16">
      <c r="A302" t="s">
        <v>634</v>
      </c>
      <c r="B302" t="s">
        <v>635</v>
      </c>
      <c r="C302" t="s">
        <v>23</v>
      </c>
      <c r="D302">
        <v>122</v>
      </c>
      <c r="E302">
        <v>1.9</v>
      </c>
      <c r="F302" t="s">
        <v>61</v>
      </c>
      <c r="G302">
        <v>2006</v>
      </c>
      <c r="H302" t="s">
        <v>25</v>
      </c>
      <c r="I302" s="2">
        <v>45118</v>
      </c>
      <c r="J302" t="str">
        <f t="shared" si="24"/>
        <v>Long</v>
      </c>
      <c r="K302" t="str" cm="1">
        <f t="array" ref="K302">_xlfn.IFS(E302&lt;4, "Poor", E302&lt;7, "Average", E302&lt;9, "Good", TRUE, "Excellent")</f>
        <v>Poor</v>
      </c>
      <c r="L302" t="str">
        <f t="shared" si="25"/>
        <v>M1300 - Movie_300</v>
      </c>
      <c r="M302" t="str">
        <f t="shared" si="26"/>
        <v>Ger</v>
      </c>
      <c r="N302" t="str">
        <f t="shared" si="27"/>
        <v>06</v>
      </c>
      <c r="O302">
        <f t="shared" si="28"/>
        <v>9</v>
      </c>
      <c r="P302" t="str">
        <f t="shared" si="29"/>
        <v>Action</v>
      </c>
    </row>
    <row r="303" spans="1:16">
      <c r="A303" t="s">
        <v>636</v>
      </c>
      <c r="B303" t="s">
        <v>637</v>
      </c>
      <c r="C303" t="s">
        <v>67</v>
      </c>
      <c r="D303">
        <v>138</v>
      </c>
      <c r="E303">
        <v>4.8</v>
      </c>
      <c r="F303" t="s">
        <v>31</v>
      </c>
      <c r="G303">
        <v>1991</v>
      </c>
      <c r="H303" t="s">
        <v>25</v>
      </c>
      <c r="I303" s="2">
        <v>45290</v>
      </c>
      <c r="J303" t="str">
        <f t="shared" si="24"/>
        <v>Long</v>
      </c>
      <c r="K303" t="str" cm="1">
        <f t="array" ref="K303">_xlfn.IFS(E303&lt;4, "Poor", E303&lt;7, "Average", E303&lt;9, "Good", TRUE, "Excellent")</f>
        <v>Average</v>
      </c>
      <c r="L303" t="str">
        <f t="shared" si="25"/>
        <v>M1301 - Movie_301</v>
      </c>
      <c r="M303" t="str">
        <f t="shared" si="26"/>
        <v>Fre</v>
      </c>
      <c r="N303" t="str">
        <f t="shared" si="27"/>
        <v>91</v>
      </c>
      <c r="O303">
        <f t="shared" si="28"/>
        <v>9</v>
      </c>
      <c r="P303" t="str">
        <f t="shared" si="29"/>
        <v>Thriller</v>
      </c>
    </row>
    <row r="304" spans="1:16">
      <c r="A304" t="s">
        <v>638</v>
      </c>
      <c r="B304" t="s">
        <v>639</v>
      </c>
      <c r="C304" t="s">
        <v>58</v>
      </c>
      <c r="D304">
        <v>154</v>
      </c>
      <c r="E304">
        <v>7</v>
      </c>
      <c r="F304" t="s">
        <v>61</v>
      </c>
      <c r="G304">
        <v>1982</v>
      </c>
      <c r="H304" t="s">
        <v>25</v>
      </c>
      <c r="I304" s="2">
        <v>44857</v>
      </c>
      <c r="J304" t="str">
        <f t="shared" si="24"/>
        <v>Long</v>
      </c>
      <c r="K304" t="str" cm="1">
        <f t="array" ref="K304">_xlfn.IFS(E304&lt;4, "Poor", E304&lt;7, "Average", E304&lt;9, "Good", TRUE, "Excellent")</f>
        <v>Good</v>
      </c>
      <c r="L304" t="str">
        <f t="shared" si="25"/>
        <v>M1302 - Movie_302</v>
      </c>
      <c r="M304" t="str">
        <f t="shared" si="26"/>
        <v>Ger</v>
      </c>
      <c r="N304" t="str">
        <f t="shared" si="27"/>
        <v>82</v>
      </c>
      <c r="O304">
        <f t="shared" si="28"/>
        <v>9</v>
      </c>
      <c r="P304" t="str">
        <f t="shared" si="29"/>
        <v>Sci-Fi</v>
      </c>
    </row>
    <row r="305" spans="1:16">
      <c r="A305" t="s">
        <v>640</v>
      </c>
      <c r="B305" t="s">
        <v>641</v>
      </c>
      <c r="C305" t="s">
        <v>23</v>
      </c>
      <c r="D305">
        <v>181</v>
      </c>
      <c r="E305">
        <v>4.4000000000000004</v>
      </c>
      <c r="F305" t="s">
        <v>35</v>
      </c>
      <c r="G305">
        <v>2005</v>
      </c>
      <c r="H305" t="s">
        <v>25</v>
      </c>
      <c r="I305" s="2">
        <v>45402</v>
      </c>
      <c r="J305" t="str">
        <f t="shared" si="24"/>
        <v>Long</v>
      </c>
      <c r="K305" t="str" cm="1">
        <f t="array" ref="K305">_xlfn.IFS(E305&lt;4, "Poor", E305&lt;7, "Average", E305&lt;9, "Good", TRUE, "Excellent")</f>
        <v>Average</v>
      </c>
      <c r="L305" t="str">
        <f t="shared" si="25"/>
        <v>M1303 - Movie_303</v>
      </c>
      <c r="M305" t="str">
        <f t="shared" si="26"/>
        <v>Eng</v>
      </c>
      <c r="N305" t="str">
        <f t="shared" si="27"/>
        <v>05</v>
      </c>
      <c r="O305">
        <f t="shared" si="28"/>
        <v>9</v>
      </c>
      <c r="P305" t="str">
        <f t="shared" si="29"/>
        <v>Action</v>
      </c>
    </row>
    <row r="306" spans="1:16">
      <c r="A306" t="s">
        <v>642</v>
      </c>
      <c r="B306" t="s">
        <v>643</v>
      </c>
      <c r="C306" t="s">
        <v>23</v>
      </c>
      <c r="D306">
        <v>195</v>
      </c>
      <c r="E306">
        <v>2.4</v>
      </c>
      <c r="F306" t="s">
        <v>19</v>
      </c>
      <c r="G306">
        <v>2011</v>
      </c>
      <c r="H306" t="s">
        <v>25</v>
      </c>
      <c r="I306" s="2">
        <v>44681</v>
      </c>
      <c r="J306" t="str">
        <f t="shared" si="24"/>
        <v>Long</v>
      </c>
      <c r="K306" t="str" cm="1">
        <f t="array" ref="K306">_xlfn.IFS(E306&lt;4, "Poor", E306&lt;7, "Average", E306&lt;9, "Good", TRUE, "Excellent")</f>
        <v>Poor</v>
      </c>
      <c r="L306" t="str">
        <f t="shared" si="25"/>
        <v>M1304 - Movie_304</v>
      </c>
      <c r="M306" t="str">
        <f t="shared" si="26"/>
        <v>Jap</v>
      </c>
      <c r="N306" t="str">
        <f t="shared" si="27"/>
        <v>11</v>
      </c>
      <c r="O306">
        <f t="shared" si="28"/>
        <v>9</v>
      </c>
      <c r="P306" t="str">
        <f t="shared" si="29"/>
        <v>Action</v>
      </c>
    </row>
    <row r="307" spans="1:16">
      <c r="A307" t="s">
        <v>644</v>
      </c>
      <c r="B307" t="s">
        <v>645</v>
      </c>
      <c r="C307" t="s">
        <v>18</v>
      </c>
      <c r="D307">
        <v>148</v>
      </c>
      <c r="E307">
        <v>9.3000000000000007</v>
      </c>
      <c r="F307" t="s">
        <v>31</v>
      </c>
      <c r="G307">
        <v>1991</v>
      </c>
      <c r="H307" t="s">
        <v>25</v>
      </c>
      <c r="I307" s="2">
        <v>44698</v>
      </c>
      <c r="J307" t="str">
        <f t="shared" si="24"/>
        <v>Long</v>
      </c>
      <c r="K307" t="str" cm="1">
        <f t="array" ref="K307">_xlfn.IFS(E307&lt;4, "Poor", E307&lt;7, "Average", E307&lt;9, "Good", TRUE, "Excellent")</f>
        <v>Excellent</v>
      </c>
      <c r="L307" t="str">
        <f t="shared" si="25"/>
        <v>M1305 - Movie_305</v>
      </c>
      <c r="M307" t="str">
        <f t="shared" si="26"/>
        <v>Fre</v>
      </c>
      <c r="N307" t="str">
        <f t="shared" si="27"/>
        <v>91</v>
      </c>
      <c r="O307">
        <f t="shared" si="28"/>
        <v>9</v>
      </c>
      <c r="P307" t="str">
        <f t="shared" si="29"/>
        <v>Horror</v>
      </c>
    </row>
    <row r="308" spans="1:16">
      <c r="A308" t="s">
        <v>646</v>
      </c>
      <c r="B308" t="s">
        <v>647</v>
      </c>
      <c r="C308" t="s">
        <v>58</v>
      </c>
      <c r="D308">
        <v>168</v>
      </c>
      <c r="E308">
        <v>1.6</v>
      </c>
      <c r="F308" t="s">
        <v>24</v>
      </c>
      <c r="G308">
        <v>1998</v>
      </c>
      <c r="H308" t="s">
        <v>20</v>
      </c>
      <c r="I308" s="2">
        <v>45268</v>
      </c>
      <c r="J308" t="str">
        <f t="shared" si="24"/>
        <v>Long</v>
      </c>
      <c r="K308" t="str" cm="1">
        <f t="array" ref="K308">_xlfn.IFS(E308&lt;4, "Poor", E308&lt;7, "Average", E308&lt;9, "Good", TRUE, "Excellent")</f>
        <v>Poor</v>
      </c>
      <c r="L308" t="str">
        <f t="shared" si="25"/>
        <v>M1306 - Movie_306</v>
      </c>
      <c r="M308" t="str">
        <f t="shared" si="26"/>
        <v>Hin</v>
      </c>
      <c r="N308" t="str">
        <f t="shared" si="27"/>
        <v>98</v>
      </c>
      <c r="O308">
        <f t="shared" si="28"/>
        <v>9</v>
      </c>
      <c r="P308" t="str">
        <f t="shared" si="29"/>
        <v>Sci-Fi</v>
      </c>
    </row>
    <row r="309" spans="1:16">
      <c r="A309" t="s">
        <v>648</v>
      </c>
      <c r="B309" t="s">
        <v>649</v>
      </c>
      <c r="C309" t="s">
        <v>23</v>
      </c>
      <c r="D309">
        <v>200</v>
      </c>
      <c r="E309">
        <v>8.5</v>
      </c>
      <c r="F309" t="s">
        <v>61</v>
      </c>
      <c r="G309">
        <v>1982</v>
      </c>
      <c r="H309" t="s">
        <v>25</v>
      </c>
      <c r="I309" s="2">
        <v>44654</v>
      </c>
      <c r="J309" t="str">
        <f t="shared" si="24"/>
        <v>Long</v>
      </c>
      <c r="K309" t="str" cm="1">
        <f t="array" ref="K309">_xlfn.IFS(E309&lt;4, "Poor", E309&lt;7, "Average", E309&lt;9, "Good", TRUE, "Excellent")</f>
        <v>Good</v>
      </c>
      <c r="L309" t="str">
        <f t="shared" si="25"/>
        <v>M1307 - Movie_307</v>
      </c>
      <c r="M309" t="str">
        <f t="shared" si="26"/>
        <v>Ger</v>
      </c>
      <c r="N309" t="str">
        <f t="shared" si="27"/>
        <v>82</v>
      </c>
      <c r="O309">
        <f t="shared" si="28"/>
        <v>9</v>
      </c>
      <c r="P309" t="str">
        <f t="shared" si="29"/>
        <v>Action</v>
      </c>
    </row>
    <row r="310" spans="1:16">
      <c r="A310" t="s">
        <v>650</v>
      </c>
      <c r="B310" t="s">
        <v>651</v>
      </c>
      <c r="C310" t="s">
        <v>23</v>
      </c>
      <c r="D310">
        <v>144</v>
      </c>
      <c r="E310">
        <v>1.8</v>
      </c>
      <c r="F310" t="s">
        <v>31</v>
      </c>
      <c r="G310">
        <v>1980</v>
      </c>
      <c r="H310" t="s">
        <v>25</v>
      </c>
      <c r="I310" s="2">
        <v>43999</v>
      </c>
      <c r="J310" t="str">
        <f t="shared" si="24"/>
        <v>Long</v>
      </c>
      <c r="K310" t="str" cm="1">
        <f t="array" ref="K310">_xlfn.IFS(E310&lt;4, "Poor", E310&lt;7, "Average", E310&lt;9, "Good", TRUE, "Excellent")</f>
        <v>Poor</v>
      </c>
      <c r="L310" t="str">
        <f t="shared" si="25"/>
        <v>M1308 - Movie_308</v>
      </c>
      <c r="M310" t="str">
        <f t="shared" si="26"/>
        <v>Fre</v>
      </c>
      <c r="N310" t="str">
        <f t="shared" si="27"/>
        <v>80</v>
      </c>
      <c r="O310">
        <f t="shared" si="28"/>
        <v>9</v>
      </c>
      <c r="P310" t="str">
        <f t="shared" si="29"/>
        <v>Action</v>
      </c>
    </row>
    <row r="311" spans="1:16">
      <c r="A311" t="s">
        <v>652</v>
      </c>
      <c r="B311" t="s">
        <v>653</v>
      </c>
      <c r="C311" t="s">
        <v>40</v>
      </c>
      <c r="D311">
        <v>150</v>
      </c>
      <c r="E311">
        <v>1.9</v>
      </c>
      <c r="F311" t="s">
        <v>19</v>
      </c>
      <c r="G311">
        <v>1999</v>
      </c>
      <c r="H311" t="s">
        <v>20</v>
      </c>
      <c r="I311" s="2">
        <v>45142</v>
      </c>
      <c r="J311" t="str">
        <f t="shared" si="24"/>
        <v>Long</v>
      </c>
      <c r="K311" t="str" cm="1">
        <f t="array" ref="K311">_xlfn.IFS(E311&lt;4, "Poor", E311&lt;7, "Average", E311&lt;9, "Good", TRUE, "Excellent")</f>
        <v>Poor</v>
      </c>
      <c r="L311" t="str">
        <f t="shared" si="25"/>
        <v>M1309 - Movie_309</v>
      </c>
      <c r="M311" t="str">
        <f t="shared" si="26"/>
        <v>Jap</v>
      </c>
      <c r="N311" t="str">
        <f t="shared" si="27"/>
        <v>99</v>
      </c>
      <c r="O311">
        <f t="shared" si="28"/>
        <v>9</v>
      </c>
      <c r="P311" t="str">
        <f t="shared" si="29"/>
        <v>Comedy</v>
      </c>
    </row>
    <row r="312" spans="1:16">
      <c r="A312" t="s">
        <v>654</v>
      </c>
      <c r="B312" t="s">
        <v>655</v>
      </c>
      <c r="C312" t="s">
        <v>40</v>
      </c>
      <c r="D312">
        <v>176</v>
      </c>
      <c r="E312">
        <v>7.6</v>
      </c>
      <c r="F312" t="s">
        <v>35</v>
      </c>
      <c r="G312">
        <v>2016</v>
      </c>
      <c r="H312" t="s">
        <v>25</v>
      </c>
      <c r="I312" s="2">
        <v>44929</v>
      </c>
      <c r="J312" t="str">
        <f t="shared" si="24"/>
        <v>Long</v>
      </c>
      <c r="K312" t="str" cm="1">
        <f t="array" ref="K312">_xlfn.IFS(E312&lt;4, "Poor", E312&lt;7, "Average", E312&lt;9, "Good", TRUE, "Excellent")</f>
        <v>Good</v>
      </c>
      <c r="L312" t="str">
        <f t="shared" si="25"/>
        <v>M1310 - Movie_310</v>
      </c>
      <c r="M312" t="str">
        <f t="shared" si="26"/>
        <v>Eng</v>
      </c>
      <c r="N312" t="str">
        <f t="shared" si="27"/>
        <v>16</v>
      </c>
      <c r="O312">
        <f t="shared" si="28"/>
        <v>9</v>
      </c>
      <c r="P312" t="str">
        <f t="shared" si="29"/>
        <v>Comedy</v>
      </c>
    </row>
    <row r="313" spans="1:16">
      <c r="A313" t="s">
        <v>656</v>
      </c>
      <c r="B313" t="s">
        <v>657</v>
      </c>
      <c r="C313" t="s">
        <v>67</v>
      </c>
      <c r="D313">
        <v>129</v>
      </c>
      <c r="E313">
        <v>8.3000000000000007</v>
      </c>
      <c r="F313" t="s">
        <v>35</v>
      </c>
      <c r="G313">
        <v>2018</v>
      </c>
      <c r="H313" t="s">
        <v>25</v>
      </c>
      <c r="I313" s="2">
        <v>44932</v>
      </c>
      <c r="J313" t="str">
        <f t="shared" si="24"/>
        <v>Long</v>
      </c>
      <c r="K313" t="str" cm="1">
        <f t="array" ref="K313">_xlfn.IFS(E313&lt;4, "Poor", E313&lt;7, "Average", E313&lt;9, "Good", TRUE, "Excellent")</f>
        <v>Good</v>
      </c>
      <c r="L313" t="str">
        <f t="shared" si="25"/>
        <v>M1311 - Movie_311</v>
      </c>
      <c r="M313" t="str">
        <f t="shared" si="26"/>
        <v>Eng</v>
      </c>
      <c r="N313" t="str">
        <f t="shared" si="27"/>
        <v>18</v>
      </c>
      <c r="O313">
        <f t="shared" si="28"/>
        <v>9</v>
      </c>
      <c r="P313" t="str">
        <f t="shared" si="29"/>
        <v>Thriller</v>
      </c>
    </row>
    <row r="314" spans="1:16">
      <c r="A314" t="s">
        <v>658</v>
      </c>
      <c r="B314" t="s">
        <v>659</v>
      </c>
      <c r="C314" t="s">
        <v>67</v>
      </c>
      <c r="D314">
        <v>138</v>
      </c>
      <c r="E314">
        <v>6</v>
      </c>
      <c r="F314" t="s">
        <v>19</v>
      </c>
      <c r="G314">
        <v>1986</v>
      </c>
      <c r="H314" t="s">
        <v>20</v>
      </c>
      <c r="I314" s="2">
        <v>45092</v>
      </c>
      <c r="J314" t="str">
        <f t="shared" si="24"/>
        <v>Long</v>
      </c>
      <c r="K314" t="str" cm="1">
        <f t="array" ref="K314">_xlfn.IFS(E314&lt;4, "Poor", E314&lt;7, "Average", E314&lt;9, "Good", TRUE, "Excellent")</f>
        <v>Average</v>
      </c>
      <c r="L314" t="str">
        <f t="shared" si="25"/>
        <v>M1312 - Movie_312</v>
      </c>
      <c r="M314" t="str">
        <f t="shared" si="26"/>
        <v>Jap</v>
      </c>
      <c r="N314" t="str">
        <f t="shared" si="27"/>
        <v>86</v>
      </c>
      <c r="O314">
        <f t="shared" si="28"/>
        <v>9</v>
      </c>
      <c r="P314" t="str">
        <f t="shared" si="29"/>
        <v>Thriller</v>
      </c>
    </row>
    <row r="315" spans="1:16">
      <c r="A315" t="s">
        <v>660</v>
      </c>
      <c r="B315" t="s">
        <v>661</v>
      </c>
      <c r="C315" t="s">
        <v>67</v>
      </c>
      <c r="D315">
        <v>124</v>
      </c>
      <c r="E315">
        <v>6.3</v>
      </c>
      <c r="F315" t="s">
        <v>19</v>
      </c>
      <c r="G315">
        <v>2001</v>
      </c>
      <c r="H315" t="s">
        <v>25</v>
      </c>
      <c r="I315" s="2">
        <v>44143</v>
      </c>
      <c r="J315" t="str">
        <f t="shared" si="24"/>
        <v>Long</v>
      </c>
      <c r="K315" t="str" cm="1">
        <f t="array" ref="K315">_xlfn.IFS(E315&lt;4, "Poor", E315&lt;7, "Average", E315&lt;9, "Good", TRUE, "Excellent")</f>
        <v>Average</v>
      </c>
      <c r="L315" t="str">
        <f t="shared" si="25"/>
        <v>M1313 - Movie_313</v>
      </c>
      <c r="M315" t="str">
        <f t="shared" si="26"/>
        <v>Jap</v>
      </c>
      <c r="N315" t="str">
        <f t="shared" si="27"/>
        <v>01</v>
      </c>
      <c r="O315">
        <f t="shared" si="28"/>
        <v>9</v>
      </c>
      <c r="P315" t="str">
        <f t="shared" si="29"/>
        <v>Thriller</v>
      </c>
    </row>
    <row r="316" spans="1:16">
      <c r="A316" t="s">
        <v>662</v>
      </c>
      <c r="B316" t="s">
        <v>663</v>
      </c>
      <c r="C316" t="s">
        <v>40</v>
      </c>
      <c r="D316">
        <v>119</v>
      </c>
      <c r="E316">
        <v>6.1</v>
      </c>
      <c r="F316" t="s">
        <v>61</v>
      </c>
      <c r="G316">
        <v>1998</v>
      </c>
      <c r="H316" t="s">
        <v>25</v>
      </c>
      <c r="I316" s="2">
        <v>44399</v>
      </c>
      <c r="J316" t="str">
        <f t="shared" si="24"/>
        <v>Short</v>
      </c>
      <c r="K316" t="str" cm="1">
        <f t="array" ref="K316">_xlfn.IFS(E316&lt;4, "Poor", E316&lt;7, "Average", E316&lt;9, "Good", TRUE, "Excellent")</f>
        <v>Average</v>
      </c>
      <c r="L316" t="str">
        <f t="shared" si="25"/>
        <v>M1314 - Movie_314</v>
      </c>
      <c r="M316" t="str">
        <f t="shared" si="26"/>
        <v>Ger</v>
      </c>
      <c r="N316" t="str">
        <f t="shared" si="27"/>
        <v>98</v>
      </c>
      <c r="O316">
        <f t="shared" si="28"/>
        <v>9</v>
      </c>
      <c r="P316" t="str">
        <f t="shared" si="29"/>
        <v>Comedy</v>
      </c>
    </row>
    <row r="317" spans="1:16">
      <c r="A317" t="s">
        <v>664</v>
      </c>
      <c r="B317" t="s">
        <v>665</v>
      </c>
      <c r="C317" t="s">
        <v>67</v>
      </c>
      <c r="D317">
        <v>90</v>
      </c>
      <c r="E317">
        <v>4</v>
      </c>
      <c r="F317" t="s">
        <v>31</v>
      </c>
      <c r="G317">
        <v>2009</v>
      </c>
      <c r="H317" t="s">
        <v>25</v>
      </c>
      <c r="I317" s="2">
        <v>44002</v>
      </c>
      <c r="J317" t="str">
        <f t="shared" si="24"/>
        <v>Short</v>
      </c>
      <c r="K317" t="str" cm="1">
        <f t="array" ref="K317">_xlfn.IFS(E317&lt;4, "Poor", E317&lt;7, "Average", E317&lt;9, "Good", TRUE, "Excellent")</f>
        <v>Average</v>
      </c>
      <c r="L317" t="str">
        <f t="shared" si="25"/>
        <v>M1315 - Movie_315</v>
      </c>
      <c r="M317" t="str">
        <f t="shared" si="26"/>
        <v>Fre</v>
      </c>
      <c r="N317" t="str">
        <f t="shared" si="27"/>
        <v>09</v>
      </c>
      <c r="O317">
        <f t="shared" si="28"/>
        <v>9</v>
      </c>
      <c r="P317" t="str">
        <f t="shared" si="29"/>
        <v>Thriller</v>
      </c>
    </row>
    <row r="318" spans="1:16">
      <c r="A318" t="s">
        <v>666</v>
      </c>
      <c r="B318" t="s">
        <v>667</v>
      </c>
      <c r="C318" t="s">
        <v>23</v>
      </c>
      <c r="D318">
        <v>109</v>
      </c>
      <c r="E318">
        <v>2.1</v>
      </c>
      <c r="F318" t="s">
        <v>24</v>
      </c>
      <c r="G318">
        <v>2021</v>
      </c>
      <c r="H318" t="s">
        <v>25</v>
      </c>
      <c r="I318" s="2">
        <v>44465</v>
      </c>
      <c r="J318" t="str">
        <f t="shared" si="24"/>
        <v>Short</v>
      </c>
      <c r="K318" t="str" cm="1">
        <f t="array" ref="K318">_xlfn.IFS(E318&lt;4, "Poor", E318&lt;7, "Average", E318&lt;9, "Good", TRUE, "Excellent")</f>
        <v>Poor</v>
      </c>
      <c r="L318" t="str">
        <f t="shared" si="25"/>
        <v>M1316 - Movie_316</v>
      </c>
      <c r="M318" t="str">
        <f t="shared" si="26"/>
        <v>Hin</v>
      </c>
      <c r="N318" t="str">
        <f t="shared" si="27"/>
        <v>21</v>
      </c>
      <c r="O318">
        <f t="shared" si="28"/>
        <v>9</v>
      </c>
      <c r="P318" t="str">
        <f t="shared" si="29"/>
        <v>Action</v>
      </c>
    </row>
    <row r="319" spans="1:16">
      <c r="A319" t="s">
        <v>668</v>
      </c>
      <c r="B319" t="s">
        <v>669</v>
      </c>
      <c r="C319" t="s">
        <v>40</v>
      </c>
      <c r="D319">
        <v>140</v>
      </c>
      <c r="E319">
        <v>4.2</v>
      </c>
      <c r="F319" t="s">
        <v>19</v>
      </c>
      <c r="G319">
        <v>2014</v>
      </c>
      <c r="H319" t="s">
        <v>20</v>
      </c>
      <c r="I319" s="2">
        <v>43992</v>
      </c>
      <c r="J319" t="str">
        <f t="shared" si="24"/>
        <v>Long</v>
      </c>
      <c r="K319" t="str" cm="1">
        <f t="array" ref="K319">_xlfn.IFS(E319&lt;4, "Poor", E319&lt;7, "Average", E319&lt;9, "Good", TRUE, "Excellent")</f>
        <v>Average</v>
      </c>
      <c r="L319" t="str">
        <f t="shared" si="25"/>
        <v>M1317 - Movie_317</v>
      </c>
      <c r="M319" t="str">
        <f t="shared" si="26"/>
        <v>Jap</v>
      </c>
      <c r="N319" t="str">
        <f t="shared" si="27"/>
        <v>14</v>
      </c>
      <c r="O319">
        <f t="shared" si="28"/>
        <v>9</v>
      </c>
      <c r="P319" t="str">
        <f t="shared" si="29"/>
        <v>Comedy</v>
      </c>
    </row>
    <row r="320" spans="1:16">
      <c r="A320" t="s">
        <v>670</v>
      </c>
      <c r="B320" t="s">
        <v>671</v>
      </c>
      <c r="C320" t="s">
        <v>67</v>
      </c>
      <c r="D320">
        <v>90</v>
      </c>
      <c r="E320">
        <v>7</v>
      </c>
      <c r="F320" t="s">
        <v>19</v>
      </c>
      <c r="G320">
        <v>2013</v>
      </c>
      <c r="H320" t="s">
        <v>25</v>
      </c>
      <c r="I320" s="2">
        <v>44878</v>
      </c>
      <c r="J320" t="str">
        <f t="shared" si="24"/>
        <v>Short</v>
      </c>
      <c r="K320" t="str" cm="1">
        <f t="array" ref="K320">_xlfn.IFS(E320&lt;4, "Poor", E320&lt;7, "Average", E320&lt;9, "Good", TRUE, "Excellent")</f>
        <v>Good</v>
      </c>
      <c r="L320" t="str">
        <f t="shared" si="25"/>
        <v>M1318 - Movie_318</v>
      </c>
      <c r="M320" t="str">
        <f t="shared" si="26"/>
        <v>Jap</v>
      </c>
      <c r="N320" t="str">
        <f t="shared" si="27"/>
        <v>13</v>
      </c>
      <c r="O320">
        <f t="shared" si="28"/>
        <v>9</v>
      </c>
      <c r="P320" t="str">
        <f t="shared" si="29"/>
        <v>Thriller</v>
      </c>
    </row>
    <row r="321" spans="1:16">
      <c r="A321" t="s">
        <v>672</v>
      </c>
      <c r="B321" t="s">
        <v>673</v>
      </c>
      <c r="C321" t="s">
        <v>23</v>
      </c>
      <c r="D321">
        <v>197</v>
      </c>
      <c r="E321">
        <v>7.8</v>
      </c>
      <c r="F321" t="s">
        <v>28</v>
      </c>
      <c r="G321">
        <v>2011</v>
      </c>
      <c r="H321" t="s">
        <v>25</v>
      </c>
      <c r="I321" s="2">
        <v>44247</v>
      </c>
      <c r="J321" t="str">
        <f t="shared" si="24"/>
        <v>Long</v>
      </c>
      <c r="K321" t="str" cm="1">
        <f t="array" ref="K321">_xlfn.IFS(E321&lt;4, "Poor", E321&lt;7, "Average", E321&lt;9, "Good", TRUE, "Excellent")</f>
        <v>Good</v>
      </c>
      <c r="L321" t="str">
        <f t="shared" si="25"/>
        <v>M1319 - Movie_319</v>
      </c>
      <c r="M321" t="str">
        <f t="shared" si="26"/>
        <v>Spa</v>
      </c>
      <c r="N321" t="str">
        <f t="shared" si="27"/>
        <v>11</v>
      </c>
      <c r="O321">
        <f t="shared" si="28"/>
        <v>9</v>
      </c>
      <c r="P321" t="str">
        <f t="shared" si="29"/>
        <v>Action</v>
      </c>
    </row>
    <row r="322" spans="1:16">
      <c r="A322" t="s">
        <v>674</v>
      </c>
      <c r="B322" t="s">
        <v>675</v>
      </c>
      <c r="C322" t="s">
        <v>67</v>
      </c>
      <c r="D322">
        <v>107</v>
      </c>
      <c r="E322">
        <v>8.8000000000000007</v>
      </c>
      <c r="F322" t="s">
        <v>35</v>
      </c>
      <c r="G322">
        <v>1988</v>
      </c>
      <c r="H322" t="s">
        <v>25</v>
      </c>
      <c r="I322" s="2">
        <v>45485</v>
      </c>
      <c r="J322" t="str">
        <f t="shared" si="24"/>
        <v>Short</v>
      </c>
      <c r="K322" t="str" cm="1">
        <f t="array" ref="K322">_xlfn.IFS(E322&lt;4, "Poor", E322&lt;7, "Average", E322&lt;9, "Good", TRUE, "Excellent")</f>
        <v>Good</v>
      </c>
      <c r="L322" t="str">
        <f t="shared" si="25"/>
        <v>M1320 - Movie_320</v>
      </c>
      <c r="M322" t="str">
        <f t="shared" si="26"/>
        <v>Eng</v>
      </c>
      <c r="N322" t="str">
        <f t="shared" si="27"/>
        <v>88</v>
      </c>
      <c r="O322">
        <f t="shared" si="28"/>
        <v>9</v>
      </c>
      <c r="P322" t="str">
        <f t="shared" si="29"/>
        <v>Thriller</v>
      </c>
    </row>
    <row r="323" spans="1:16">
      <c r="A323" t="s">
        <v>676</v>
      </c>
      <c r="B323" t="s">
        <v>677</v>
      </c>
      <c r="C323" t="s">
        <v>34</v>
      </c>
      <c r="D323">
        <v>109</v>
      </c>
      <c r="E323">
        <v>7.5</v>
      </c>
      <c r="F323" t="s">
        <v>28</v>
      </c>
      <c r="G323">
        <v>2012</v>
      </c>
      <c r="H323" t="s">
        <v>25</v>
      </c>
      <c r="I323" s="2">
        <v>44149</v>
      </c>
      <c r="J323" t="str">
        <f t="shared" ref="J323:J386" si="30">IF(D323&gt;120, "Long", "Short")</f>
        <v>Short</v>
      </c>
      <c r="K323" t="str" cm="1">
        <f t="array" ref="K323">_xlfn.IFS(E323&lt;4, "Poor", E323&lt;7, "Average", E323&lt;9, "Good", TRUE, "Excellent")</f>
        <v>Good</v>
      </c>
      <c r="L323" t="str">
        <f t="shared" ref="L323:L386" si="31">_xlfn.CONCAT(A323, " - ", B323)</f>
        <v>M1321 - Movie_321</v>
      </c>
      <c r="M323" t="str">
        <f t="shared" ref="M323:M386" si="32">LEFT(F323,3)</f>
        <v>Spa</v>
      </c>
      <c r="N323" t="str">
        <f t="shared" ref="N323:N386" si="33">RIGHT(G323,2)</f>
        <v>12</v>
      </c>
      <c r="O323">
        <f t="shared" ref="O323:O386" si="34">LEN(B323)</f>
        <v>9</v>
      </c>
      <c r="P323" t="str">
        <f t="shared" ref="P323:P386" si="35">TRIM(C323)</f>
        <v>Drama</v>
      </c>
    </row>
    <row r="324" spans="1:16">
      <c r="A324" t="s">
        <v>678</v>
      </c>
      <c r="B324" t="s">
        <v>679</v>
      </c>
      <c r="C324" t="s">
        <v>67</v>
      </c>
      <c r="D324">
        <v>115</v>
      </c>
      <c r="E324">
        <v>9.6999999999999993</v>
      </c>
      <c r="F324" t="s">
        <v>24</v>
      </c>
      <c r="G324">
        <v>2009</v>
      </c>
      <c r="H324" t="s">
        <v>25</v>
      </c>
      <c r="I324" s="2">
        <v>44929</v>
      </c>
      <c r="J324" t="str">
        <f t="shared" si="30"/>
        <v>Short</v>
      </c>
      <c r="K324" t="str" cm="1">
        <f t="array" ref="K324">_xlfn.IFS(E324&lt;4, "Poor", E324&lt;7, "Average", E324&lt;9, "Good", TRUE, "Excellent")</f>
        <v>Excellent</v>
      </c>
      <c r="L324" t="str">
        <f t="shared" si="31"/>
        <v>M1322 - Movie_322</v>
      </c>
      <c r="M324" t="str">
        <f t="shared" si="32"/>
        <v>Hin</v>
      </c>
      <c r="N324" t="str">
        <f t="shared" si="33"/>
        <v>09</v>
      </c>
      <c r="O324">
        <f t="shared" si="34"/>
        <v>9</v>
      </c>
      <c r="P324" t="str">
        <f t="shared" si="35"/>
        <v>Thriller</v>
      </c>
    </row>
    <row r="325" spans="1:16">
      <c r="A325" t="s">
        <v>680</v>
      </c>
      <c r="B325" t="s">
        <v>681</v>
      </c>
      <c r="C325" t="s">
        <v>34</v>
      </c>
      <c r="D325">
        <v>183</v>
      </c>
      <c r="E325">
        <v>6.4</v>
      </c>
      <c r="F325" t="s">
        <v>19</v>
      </c>
      <c r="G325">
        <v>1997</v>
      </c>
      <c r="H325" t="s">
        <v>20</v>
      </c>
      <c r="I325" s="2">
        <v>44500</v>
      </c>
      <c r="J325" t="str">
        <f t="shared" si="30"/>
        <v>Long</v>
      </c>
      <c r="K325" t="str" cm="1">
        <f t="array" ref="K325">_xlfn.IFS(E325&lt;4, "Poor", E325&lt;7, "Average", E325&lt;9, "Good", TRUE, "Excellent")</f>
        <v>Average</v>
      </c>
      <c r="L325" t="str">
        <f t="shared" si="31"/>
        <v>M1323 - Movie_323</v>
      </c>
      <c r="M325" t="str">
        <f t="shared" si="32"/>
        <v>Jap</v>
      </c>
      <c r="N325" t="str">
        <f t="shared" si="33"/>
        <v>97</v>
      </c>
      <c r="O325">
        <f t="shared" si="34"/>
        <v>9</v>
      </c>
      <c r="P325" t="str">
        <f t="shared" si="35"/>
        <v>Drama</v>
      </c>
    </row>
    <row r="326" spans="1:16">
      <c r="A326" t="s">
        <v>682</v>
      </c>
      <c r="B326" t="s">
        <v>683</v>
      </c>
      <c r="C326" t="s">
        <v>67</v>
      </c>
      <c r="D326">
        <v>130</v>
      </c>
      <c r="E326">
        <v>4.2</v>
      </c>
      <c r="F326" t="s">
        <v>61</v>
      </c>
      <c r="G326">
        <v>1992</v>
      </c>
      <c r="H326" t="s">
        <v>20</v>
      </c>
      <c r="I326" s="2">
        <v>44631</v>
      </c>
      <c r="J326" t="str">
        <f t="shared" si="30"/>
        <v>Long</v>
      </c>
      <c r="K326" t="str" cm="1">
        <f t="array" ref="K326">_xlfn.IFS(E326&lt;4, "Poor", E326&lt;7, "Average", E326&lt;9, "Good", TRUE, "Excellent")</f>
        <v>Average</v>
      </c>
      <c r="L326" t="str">
        <f t="shared" si="31"/>
        <v>M1324 - Movie_324</v>
      </c>
      <c r="M326" t="str">
        <f t="shared" si="32"/>
        <v>Ger</v>
      </c>
      <c r="N326" t="str">
        <f t="shared" si="33"/>
        <v>92</v>
      </c>
      <c r="O326">
        <f t="shared" si="34"/>
        <v>9</v>
      </c>
      <c r="P326" t="str">
        <f t="shared" si="35"/>
        <v>Thriller</v>
      </c>
    </row>
    <row r="327" spans="1:16">
      <c r="A327" t="s">
        <v>684</v>
      </c>
      <c r="B327" t="s">
        <v>685</v>
      </c>
      <c r="C327" t="s">
        <v>18</v>
      </c>
      <c r="D327">
        <v>194</v>
      </c>
      <c r="E327">
        <v>6.2</v>
      </c>
      <c r="F327" t="s">
        <v>35</v>
      </c>
      <c r="G327">
        <v>1987</v>
      </c>
      <c r="H327" t="s">
        <v>20</v>
      </c>
      <c r="I327" s="2">
        <v>45032</v>
      </c>
      <c r="J327" t="str">
        <f t="shared" si="30"/>
        <v>Long</v>
      </c>
      <c r="K327" t="str" cm="1">
        <f t="array" ref="K327">_xlfn.IFS(E327&lt;4, "Poor", E327&lt;7, "Average", E327&lt;9, "Good", TRUE, "Excellent")</f>
        <v>Average</v>
      </c>
      <c r="L327" t="str">
        <f t="shared" si="31"/>
        <v>M1325 - Movie_325</v>
      </c>
      <c r="M327" t="str">
        <f t="shared" si="32"/>
        <v>Eng</v>
      </c>
      <c r="N327" t="str">
        <f t="shared" si="33"/>
        <v>87</v>
      </c>
      <c r="O327">
        <f t="shared" si="34"/>
        <v>9</v>
      </c>
      <c r="P327" t="str">
        <f t="shared" si="35"/>
        <v>Horror</v>
      </c>
    </row>
    <row r="328" spans="1:16">
      <c r="A328" t="s">
        <v>686</v>
      </c>
      <c r="B328" t="s">
        <v>687</v>
      </c>
      <c r="C328" t="s">
        <v>18</v>
      </c>
      <c r="D328">
        <v>132</v>
      </c>
      <c r="E328">
        <v>2.9</v>
      </c>
      <c r="F328" t="s">
        <v>28</v>
      </c>
      <c r="G328">
        <v>2001</v>
      </c>
      <c r="H328" t="s">
        <v>20</v>
      </c>
      <c r="I328" s="2">
        <v>45130</v>
      </c>
      <c r="J328" t="str">
        <f t="shared" si="30"/>
        <v>Long</v>
      </c>
      <c r="K328" t="str" cm="1">
        <f t="array" ref="K328">_xlfn.IFS(E328&lt;4, "Poor", E328&lt;7, "Average", E328&lt;9, "Good", TRUE, "Excellent")</f>
        <v>Poor</v>
      </c>
      <c r="L328" t="str">
        <f t="shared" si="31"/>
        <v>M1326 - Movie_326</v>
      </c>
      <c r="M328" t="str">
        <f t="shared" si="32"/>
        <v>Spa</v>
      </c>
      <c r="N328" t="str">
        <f t="shared" si="33"/>
        <v>01</v>
      </c>
      <c r="O328">
        <f t="shared" si="34"/>
        <v>9</v>
      </c>
      <c r="P328" t="str">
        <f t="shared" si="35"/>
        <v>Horror</v>
      </c>
    </row>
    <row r="329" spans="1:16">
      <c r="A329" t="s">
        <v>688</v>
      </c>
      <c r="B329" t="s">
        <v>689</v>
      </c>
      <c r="C329" t="s">
        <v>58</v>
      </c>
      <c r="D329">
        <v>85</v>
      </c>
      <c r="E329">
        <v>6.9</v>
      </c>
      <c r="F329" t="s">
        <v>35</v>
      </c>
      <c r="G329">
        <v>1990</v>
      </c>
      <c r="H329" t="s">
        <v>25</v>
      </c>
      <c r="I329" s="2">
        <v>45394</v>
      </c>
      <c r="J329" t="str">
        <f t="shared" si="30"/>
        <v>Short</v>
      </c>
      <c r="K329" t="str" cm="1">
        <f t="array" ref="K329">_xlfn.IFS(E329&lt;4, "Poor", E329&lt;7, "Average", E329&lt;9, "Good", TRUE, "Excellent")</f>
        <v>Average</v>
      </c>
      <c r="L329" t="str">
        <f t="shared" si="31"/>
        <v>M1327 - Movie_327</v>
      </c>
      <c r="M329" t="str">
        <f t="shared" si="32"/>
        <v>Eng</v>
      </c>
      <c r="N329" t="str">
        <f t="shared" si="33"/>
        <v>90</v>
      </c>
      <c r="O329">
        <f t="shared" si="34"/>
        <v>9</v>
      </c>
      <c r="P329" t="str">
        <f t="shared" si="35"/>
        <v>Sci-Fi</v>
      </c>
    </row>
    <row r="330" spans="1:16">
      <c r="A330" t="s">
        <v>690</v>
      </c>
      <c r="B330" t="s">
        <v>691</v>
      </c>
      <c r="C330" t="s">
        <v>18</v>
      </c>
      <c r="D330">
        <v>109</v>
      </c>
      <c r="E330">
        <v>3</v>
      </c>
      <c r="F330" t="s">
        <v>28</v>
      </c>
      <c r="G330">
        <v>2009</v>
      </c>
      <c r="H330" t="s">
        <v>20</v>
      </c>
      <c r="I330" s="2">
        <v>45161</v>
      </c>
      <c r="J330" t="str">
        <f t="shared" si="30"/>
        <v>Short</v>
      </c>
      <c r="K330" t="str" cm="1">
        <f t="array" ref="K330">_xlfn.IFS(E330&lt;4, "Poor", E330&lt;7, "Average", E330&lt;9, "Good", TRUE, "Excellent")</f>
        <v>Poor</v>
      </c>
      <c r="L330" t="str">
        <f t="shared" si="31"/>
        <v>M1328 - Movie_328</v>
      </c>
      <c r="M330" t="str">
        <f t="shared" si="32"/>
        <v>Spa</v>
      </c>
      <c r="N330" t="str">
        <f t="shared" si="33"/>
        <v>09</v>
      </c>
      <c r="O330">
        <f t="shared" si="34"/>
        <v>9</v>
      </c>
      <c r="P330" t="str">
        <f t="shared" si="35"/>
        <v>Horror</v>
      </c>
    </row>
    <row r="331" spans="1:16">
      <c r="A331" t="s">
        <v>692</v>
      </c>
      <c r="B331" t="s">
        <v>693</v>
      </c>
      <c r="C331" t="s">
        <v>18</v>
      </c>
      <c r="D331">
        <v>135</v>
      </c>
      <c r="E331">
        <v>2</v>
      </c>
      <c r="F331" t="s">
        <v>19</v>
      </c>
      <c r="G331">
        <v>2021</v>
      </c>
      <c r="H331" t="s">
        <v>25</v>
      </c>
      <c r="I331" s="2">
        <v>45225</v>
      </c>
      <c r="J331" t="str">
        <f t="shared" si="30"/>
        <v>Long</v>
      </c>
      <c r="K331" t="str" cm="1">
        <f t="array" ref="K331">_xlfn.IFS(E331&lt;4, "Poor", E331&lt;7, "Average", E331&lt;9, "Good", TRUE, "Excellent")</f>
        <v>Poor</v>
      </c>
      <c r="L331" t="str">
        <f t="shared" si="31"/>
        <v>M1329 - Movie_329</v>
      </c>
      <c r="M331" t="str">
        <f t="shared" si="32"/>
        <v>Jap</v>
      </c>
      <c r="N331" t="str">
        <f t="shared" si="33"/>
        <v>21</v>
      </c>
      <c r="O331">
        <f t="shared" si="34"/>
        <v>9</v>
      </c>
      <c r="P331" t="str">
        <f t="shared" si="35"/>
        <v>Horror</v>
      </c>
    </row>
    <row r="332" spans="1:16">
      <c r="A332" t="s">
        <v>694</v>
      </c>
      <c r="B332" t="s">
        <v>695</v>
      </c>
      <c r="C332" t="s">
        <v>67</v>
      </c>
      <c r="D332">
        <v>118</v>
      </c>
      <c r="E332">
        <v>8.6</v>
      </c>
      <c r="F332" t="s">
        <v>31</v>
      </c>
      <c r="G332">
        <v>1996</v>
      </c>
      <c r="H332" t="s">
        <v>25</v>
      </c>
      <c r="I332" s="2">
        <v>45148</v>
      </c>
      <c r="J332" t="str">
        <f t="shared" si="30"/>
        <v>Short</v>
      </c>
      <c r="K332" t="str" cm="1">
        <f t="array" ref="K332">_xlfn.IFS(E332&lt;4, "Poor", E332&lt;7, "Average", E332&lt;9, "Good", TRUE, "Excellent")</f>
        <v>Good</v>
      </c>
      <c r="L332" t="str">
        <f t="shared" si="31"/>
        <v>M1330 - Movie_330</v>
      </c>
      <c r="M332" t="str">
        <f t="shared" si="32"/>
        <v>Fre</v>
      </c>
      <c r="N332" t="str">
        <f t="shared" si="33"/>
        <v>96</v>
      </c>
      <c r="O332">
        <f t="shared" si="34"/>
        <v>9</v>
      </c>
      <c r="P332" t="str">
        <f t="shared" si="35"/>
        <v>Thriller</v>
      </c>
    </row>
    <row r="333" spans="1:16">
      <c r="A333" t="s">
        <v>696</v>
      </c>
      <c r="B333" t="s">
        <v>697</v>
      </c>
      <c r="C333" t="s">
        <v>40</v>
      </c>
      <c r="D333">
        <v>152</v>
      </c>
      <c r="E333">
        <v>4.3</v>
      </c>
      <c r="F333" t="s">
        <v>31</v>
      </c>
      <c r="G333">
        <v>2025</v>
      </c>
      <c r="H333" t="s">
        <v>20</v>
      </c>
      <c r="I333" s="2">
        <v>43966</v>
      </c>
      <c r="J333" t="str">
        <f t="shared" si="30"/>
        <v>Long</v>
      </c>
      <c r="K333" t="str" cm="1">
        <f t="array" ref="K333">_xlfn.IFS(E333&lt;4, "Poor", E333&lt;7, "Average", E333&lt;9, "Good", TRUE, "Excellent")</f>
        <v>Average</v>
      </c>
      <c r="L333" t="str">
        <f t="shared" si="31"/>
        <v>M1331 - Movie_331</v>
      </c>
      <c r="M333" t="str">
        <f t="shared" si="32"/>
        <v>Fre</v>
      </c>
      <c r="N333" t="str">
        <f t="shared" si="33"/>
        <v>25</v>
      </c>
      <c r="O333">
        <f t="shared" si="34"/>
        <v>9</v>
      </c>
      <c r="P333" t="str">
        <f t="shared" si="35"/>
        <v>Comedy</v>
      </c>
    </row>
    <row r="334" spans="1:16">
      <c r="A334" t="s">
        <v>698</v>
      </c>
      <c r="B334" t="s">
        <v>699</v>
      </c>
      <c r="C334" t="s">
        <v>40</v>
      </c>
      <c r="D334">
        <v>105</v>
      </c>
      <c r="E334">
        <v>7.9</v>
      </c>
      <c r="F334" t="s">
        <v>61</v>
      </c>
      <c r="G334">
        <v>1991</v>
      </c>
      <c r="H334" t="s">
        <v>25</v>
      </c>
      <c r="I334" s="2">
        <v>44466</v>
      </c>
      <c r="J334" t="str">
        <f t="shared" si="30"/>
        <v>Short</v>
      </c>
      <c r="K334" t="str" cm="1">
        <f t="array" ref="K334">_xlfn.IFS(E334&lt;4, "Poor", E334&lt;7, "Average", E334&lt;9, "Good", TRUE, "Excellent")</f>
        <v>Good</v>
      </c>
      <c r="L334" t="str">
        <f t="shared" si="31"/>
        <v>M1332 - Movie_332</v>
      </c>
      <c r="M334" t="str">
        <f t="shared" si="32"/>
        <v>Ger</v>
      </c>
      <c r="N334" t="str">
        <f t="shared" si="33"/>
        <v>91</v>
      </c>
      <c r="O334">
        <f t="shared" si="34"/>
        <v>9</v>
      </c>
      <c r="P334" t="str">
        <f t="shared" si="35"/>
        <v>Comedy</v>
      </c>
    </row>
    <row r="335" spans="1:16">
      <c r="A335" t="s">
        <v>700</v>
      </c>
      <c r="B335" t="s">
        <v>701</v>
      </c>
      <c r="C335" t="s">
        <v>34</v>
      </c>
      <c r="D335">
        <v>137</v>
      </c>
      <c r="E335">
        <v>6.2</v>
      </c>
      <c r="F335" t="s">
        <v>24</v>
      </c>
      <c r="G335">
        <v>1980</v>
      </c>
      <c r="H335" t="s">
        <v>25</v>
      </c>
      <c r="I335" s="2">
        <v>45261</v>
      </c>
      <c r="J335" t="str">
        <f t="shared" si="30"/>
        <v>Long</v>
      </c>
      <c r="K335" t="str" cm="1">
        <f t="array" ref="K335">_xlfn.IFS(E335&lt;4, "Poor", E335&lt;7, "Average", E335&lt;9, "Good", TRUE, "Excellent")</f>
        <v>Average</v>
      </c>
      <c r="L335" t="str">
        <f t="shared" si="31"/>
        <v>M1333 - Movie_333</v>
      </c>
      <c r="M335" t="str">
        <f t="shared" si="32"/>
        <v>Hin</v>
      </c>
      <c r="N335" t="str">
        <f t="shared" si="33"/>
        <v>80</v>
      </c>
      <c r="O335">
        <f t="shared" si="34"/>
        <v>9</v>
      </c>
      <c r="P335" t="str">
        <f t="shared" si="35"/>
        <v>Drama</v>
      </c>
    </row>
    <row r="336" spans="1:16">
      <c r="A336" t="s">
        <v>702</v>
      </c>
      <c r="B336" t="s">
        <v>703</v>
      </c>
      <c r="C336" t="s">
        <v>40</v>
      </c>
      <c r="D336">
        <v>63</v>
      </c>
      <c r="E336">
        <v>8.3000000000000007</v>
      </c>
      <c r="F336" t="s">
        <v>35</v>
      </c>
      <c r="G336">
        <v>2001</v>
      </c>
      <c r="H336" t="s">
        <v>20</v>
      </c>
      <c r="I336" s="2">
        <v>44726</v>
      </c>
      <c r="J336" t="str">
        <f t="shared" si="30"/>
        <v>Short</v>
      </c>
      <c r="K336" t="str" cm="1">
        <f t="array" ref="K336">_xlfn.IFS(E336&lt;4, "Poor", E336&lt;7, "Average", E336&lt;9, "Good", TRUE, "Excellent")</f>
        <v>Good</v>
      </c>
      <c r="L336" t="str">
        <f t="shared" si="31"/>
        <v>M1334 - Movie_334</v>
      </c>
      <c r="M336" t="str">
        <f t="shared" si="32"/>
        <v>Eng</v>
      </c>
      <c r="N336" t="str">
        <f t="shared" si="33"/>
        <v>01</v>
      </c>
      <c r="O336">
        <f t="shared" si="34"/>
        <v>9</v>
      </c>
      <c r="P336" t="str">
        <f t="shared" si="35"/>
        <v>Comedy</v>
      </c>
    </row>
    <row r="337" spans="1:16">
      <c r="A337" t="s">
        <v>704</v>
      </c>
      <c r="B337" t="s">
        <v>705</v>
      </c>
      <c r="C337" t="s">
        <v>23</v>
      </c>
      <c r="D337">
        <v>196</v>
      </c>
      <c r="E337">
        <v>8.6</v>
      </c>
      <c r="F337" t="s">
        <v>24</v>
      </c>
      <c r="G337">
        <v>1998</v>
      </c>
      <c r="H337" t="s">
        <v>25</v>
      </c>
      <c r="I337" s="2">
        <v>45325</v>
      </c>
      <c r="J337" t="str">
        <f t="shared" si="30"/>
        <v>Long</v>
      </c>
      <c r="K337" t="str" cm="1">
        <f t="array" ref="K337">_xlfn.IFS(E337&lt;4, "Poor", E337&lt;7, "Average", E337&lt;9, "Good", TRUE, "Excellent")</f>
        <v>Good</v>
      </c>
      <c r="L337" t="str">
        <f t="shared" si="31"/>
        <v>M1335 - Movie_335</v>
      </c>
      <c r="M337" t="str">
        <f t="shared" si="32"/>
        <v>Hin</v>
      </c>
      <c r="N337" t="str">
        <f t="shared" si="33"/>
        <v>98</v>
      </c>
      <c r="O337">
        <f t="shared" si="34"/>
        <v>9</v>
      </c>
      <c r="P337" t="str">
        <f t="shared" si="35"/>
        <v>Action</v>
      </c>
    </row>
    <row r="338" spans="1:16">
      <c r="A338" t="s">
        <v>706</v>
      </c>
      <c r="B338" t="s">
        <v>707</v>
      </c>
      <c r="C338" t="s">
        <v>58</v>
      </c>
      <c r="D338">
        <v>92</v>
      </c>
      <c r="E338">
        <v>9.8000000000000007</v>
      </c>
      <c r="F338" t="s">
        <v>28</v>
      </c>
      <c r="G338">
        <v>2016</v>
      </c>
      <c r="H338" t="s">
        <v>20</v>
      </c>
      <c r="I338" s="2">
        <v>44319</v>
      </c>
      <c r="J338" t="str">
        <f t="shared" si="30"/>
        <v>Short</v>
      </c>
      <c r="K338" t="str" cm="1">
        <f t="array" ref="K338">_xlfn.IFS(E338&lt;4, "Poor", E338&lt;7, "Average", E338&lt;9, "Good", TRUE, "Excellent")</f>
        <v>Excellent</v>
      </c>
      <c r="L338" t="str">
        <f t="shared" si="31"/>
        <v>M1336 - Movie_336</v>
      </c>
      <c r="M338" t="str">
        <f t="shared" si="32"/>
        <v>Spa</v>
      </c>
      <c r="N338" t="str">
        <f t="shared" si="33"/>
        <v>16</v>
      </c>
      <c r="O338">
        <f t="shared" si="34"/>
        <v>9</v>
      </c>
      <c r="P338" t="str">
        <f t="shared" si="35"/>
        <v>Sci-Fi</v>
      </c>
    </row>
    <row r="339" spans="1:16">
      <c r="A339" t="s">
        <v>708</v>
      </c>
      <c r="B339" t="s">
        <v>709</v>
      </c>
      <c r="C339" t="s">
        <v>18</v>
      </c>
      <c r="D339">
        <v>130</v>
      </c>
      <c r="E339">
        <v>8.4</v>
      </c>
      <c r="F339" t="s">
        <v>19</v>
      </c>
      <c r="G339">
        <v>2023</v>
      </c>
      <c r="H339" t="s">
        <v>25</v>
      </c>
      <c r="I339" s="2">
        <v>43949</v>
      </c>
      <c r="J339" t="str">
        <f t="shared" si="30"/>
        <v>Long</v>
      </c>
      <c r="K339" t="str" cm="1">
        <f t="array" ref="K339">_xlfn.IFS(E339&lt;4, "Poor", E339&lt;7, "Average", E339&lt;9, "Good", TRUE, "Excellent")</f>
        <v>Good</v>
      </c>
      <c r="L339" t="str">
        <f t="shared" si="31"/>
        <v>M1337 - Movie_337</v>
      </c>
      <c r="M339" t="str">
        <f t="shared" si="32"/>
        <v>Jap</v>
      </c>
      <c r="N339" t="str">
        <f t="shared" si="33"/>
        <v>23</v>
      </c>
      <c r="O339">
        <f t="shared" si="34"/>
        <v>9</v>
      </c>
      <c r="P339" t="str">
        <f t="shared" si="35"/>
        <v>Horror</v>
      </c>
    </row>
    <row r="340" spans="1:16">
      <c r="A340" t="s">
        <v>710</v>
      </c>
      <c r="B340" t="s">
        <v>711</v>
      </c>
      <c r="C340" t="s">
        <v>58</v>
      </c>
      <c r="D340">
        <v>71</v>
      </c>
      <c r="E340">
        <v>6.5</v>
      </c>
      <c r="F340" t="s">
        <v>61</v>
      </c>
      <c r="G340">
        <v>1992</v>
      </c>
      <c r="H340" t="s">
        <v>20</v>
      </c>
      <c r="I340" s="2">
        <v>44331</v>
      </c>
      <c r="J340" t="str">
        <f t="shared" si="30"/>
        <v>Short</v>
      </c>
      <c r="K340" t="str" cm="1">
        <f t="array" ref="K340">_xlfn.IFS(E340&lt;4, "Poor", E340&lt;7, "Average", E340&lt;9, "Good", TRUE, "Excellent")</f>
        <v>Average</v>
      </c>
      <c r="L340" t="str">
        <f t="shared" si="31"/>
        <v>M1338 - Movie_338</v>
      </c>
      <c r="M340" t="str">
        <f t="shared" si="32"/>
        <v>Ger</v>
      </c>
      <c r="N340" t="str">
        <f t="shared" si="33"/>
        <v>92</v>
      </c>
      <c r="O340">
        <f t="shared" si="34"/>
        <v>9</v>
      </c>
      <c r="P340" t="str">
        <f t="shared" si="35"/>
        <v>Sci-Fi</v>
      </c>
    </row>
    <row r="341" spans="1:16">
      <c r="A341" t="s">
        <v>712</v>
      </c>
      <c r="B341" t="s">
        <v>713</v>
      </c>
      <c r="C341" t="s">
        <v>23</v>
      </c>
      <c r="D341">
        <v>73</v>
      </c>
      <c r="E341">
        <v>6.8</v>
      </c>
      <c r="F341" t="s">
        <v>31</v>
      </c>
      <c r="G341">
        <v>1991</v>
      </c>
      <c r="H341" t="s">
        <v>25</v>
      </c>
      <c r="I341" s="2">
        <v>44007</v>
      </c>
      <c r="J341" t="str">
        <f t="shared" si="30"/>
        <v>Short</v>
      </c>
      <c r="K341" t="str" cm="1">
        <f t="array" ref="K341">_xlfn.IFS(E341&lt;4, "Poor", E341&lt;7, "Average", E341&lt;9, "Good", TRUE, "Excellent")</f>
        <v>Average</v>
      </c>
      <c r="L341" t="str">
        <f t="shared" si="31"/>
        <v>M1339 - Movie_339</v>
      </c>
      <c r="M341" t="str">
        <f t="shared" si="32"/>
        <v>Fre</v>
      </c>
      <c r="N341" t="str">
        <f t="shared" si="33"/>
        <v>91</v>
      </c>
      <c r="O341">
        <f t="shared" si="34"/>
        <v>9</v>
      </c>
      <c r="P341" t="str">
        <f t="shared" si="35"/>
        <v>Action</v>
      </c>
    </row>
    <row r="342" spans="1:16">
      <c r="A342" t="s">
        <v>714</v>
      </c>
      <c r="B342" t="s">
        <v>715</v>
      </c>
      <c r="C342" t="s">
        <v>18</v>
      </c>
      <c r="D342">
        <v>134</v>
      </c>
      <c r="E342">
        <v>1.2</v>
      </c>
      <c r="F342" t="s">
        <v>31</v>
      </c>
      <c r="G342">
        <v>2019</v>
      </c>
      <c r="H342" t="s">
        <v>25</v>
      </c>
      <c r="I342" s="2">
        <v>44720</v>
      </c>
      <c r="J342" t="str">
        <f t="shared" si="30"/>
        <v>Long</v>
      </c>
      <c r="K342" t="str" cm="1">
        <f t="array" ref="K342">_xlfn.IFS(E342&lt;4, "Poor", E342&lt;7, "Average", E342&lt;9, "Good", TRUE, "Excellent")</f>
        <v>Poor</v>
      </c>
      <c r="L342" t="str">
        <f t="shared" si="31"/>
        <v>M1340 - Movie_340</v>
      </c>
      <c r="M342" t="str">
        <f t="shared" si="32"/>
        <v>Fre</v>
      </c>
      <c r="N342" t="str">
        <f t="shared" si="33"/>
        <v>19</v>
      </c>
      <c r="O342">
        <f t="shared" si="34"/>
        <v>9</v>
      </c>
      <c r="P342" t="str">
        <f t="shared" si="35"/>
        <v>Horror</v>
      </c>
    </row>
    <row r="343" spans="1:16">
      <c r="A343" t="s">
        <v>716</v>
      </c>
      <c r="B343" t="s">
        <v>717</v>
      </c>
      <c r="C343" t="s">
        <v>34</v>
      </c>
      <c r="D343">
        <v>92</v>
      </c>
      <c r="E343">
        <v>9.4</v>
      </c>
      <c r="F343" t="s">
        <v>61</v>
      </c>
      <c r="G343">
        <v>2020</v>
      </c>
      <c r="H343" t="s">
        <v>20</v>
      </c>
      <c r="I343" s="2">
        <v>44068</v>
      </c>
      <c r="J343" t="str">
        <f t="shared" si="30"/>
        <v>Short</v>
      </c>
      <c r="K343" t="str" cm="1">
        <f t="array" ref="K343">_xlfn.IFS(E343&lt;4, "Poor", E343&lt;7, "Average", E343&lt;9, "Good", TRUE, "Excellent")</f>
        <v>Excellent</v>
      </c>
      <c r="L343" t="str">
        <f t="shared" si="31"/>
        <v>M1341 - Movie_341</v>
      </c>
      <c r="M343" t="str">
        <f t="shared" si="32"/>
        <v>Ger</v>
      </c>
      <c r="N343" t="str">
        <f t="shared" si="33"/>
        <v>20</v>
      </c>
      <c r="O343">
        <f t="shared" si="34"/>
        <v>9</v>
      </c>
      <c r="P343" t="str">
        <f t="shared" si="35"/>
        <v>Drama</v>
      </c>
    </row>
    <row r="344" spans="1:16">
      <c r="A344" t="s">
        <v>718</v>
      </c>
      <c r="B344" t="s">
        <v>719</v>
      </c>
      <c r="C344" t="s">
        <v>23</v>
      </c>
      <c r="D344">
        <v>185</v>
      </c>
      <c r="E344">
        <v>8.5</v>
      </c>
      <c r="F344" t="s">
        <v>35</v>
      </c>
      <c r="G344">
        <v>2005</v>
      </c>
      <c r="H344" t="s">
        <v>25</v>
      </c>
      <c r="I344" s="2">
        <v>44759</v>
      </c>
      <c r="J344" t="str">
        <f t="shared" si="30"/>
        <v>Long</v>
      </c>
      <c r="K344" t="str" cm="1">
        <f t="array" ref="K344">_xlfn.IFS(E344&lt;4, "Poor", E344&lt;7, "Average", E344&lt;9, "Good", TRUE, "Excellent")</f>
        <v>Good</v>
      </c>
      <c r="L344" t="str">
        <f t="shared" si="31"/>
        <v>M1342 - Movie_342</v>
      </c>
      <c r="M344" t="str">
        <f t="shared" si="32"/>
        <v>Eng</v>
      </c>
      <c r="N344" t="str">
        <f t="shared" si="33"/>
        <v>05</v>
      </c>
      <c r="O344">
        <f t="shared" si="34"/>
        <v>9</v>
      </c>
      <c r="P344" t="str">
        <f t="shared" si="35"/>
        <v>Action</v>
      </c>
    </row>
    <row r="345" spans="1:16">
      <c r="A345" t="s">
        <v>720</v>
      </c>
      <c r="B345" t="s">
        <v>721</v>
      </c>
      <c r="C345" t="s">
        <v>23</v>
      </c>
      <c r="D345">
        <v>86</v>
      </c>
      <c r="E345">
        <v>3.4</v>
      </c>
      <c r="F345" t="s">
        <v>24</v>
      </c>
      <c r="G345">
        <v>2007</v>
      </c>
      <c r="H345" t="s">
        <v>25</v>
      </c>
      <c r="I345" s="2">
        <v>45084</v>
      </c>
      <c r="J345" t="str">
        <f t="shared" si="30"/>
        <v>Short</v>
      </c>
      <c r="K345" t="str" cm="1">
        <f t="array" ref="K345">_xlfn.IFS(E345&lt;4, "Poor", E345&lt;7, "Average", E345&lt;9, "Good", TRUE, "Excellent")</f>
        <v>Poor</v>
      </c>
      <c r="L345" t="str">
        <f t="shared" si="31"/>
        <v>M1343 - Movie_343</v>
      </c>
      <c r="M345" t="str">
        <f t="shared" si="32"/>
        <v>Hin</v>
      </c>
      <c r="N345" t="str">
        <f t="shared" si="33"/>
        <v>07</v>
      </c>
      <c r="O345">
        <f t="shared" si="34"/>
        <v>9</v>
      </c>
      <c r="P345" t="str">
        <f t="shared" si="35"/>
        <v>Action</v>
      </c>
    </row>
    <row r="346" spans="1:16">
      <c r="A346" t="s">
        <v>722</v>
      </c>
      <c r="B346" t="s">
        <v>723</v>
      </c>
      <c r="C346" t="s">
        <v>58</v>
      </c>
      <c r="D346">
        <v>63</v>
      </c>
      <c r="E346">
        <v>2.6</v>
      </c>
      <c r="F346" t="s">
        <v>28</v>
      </c>
      <c r="G346">
        <v>2012</v>
      </c>
      <c r="H346" t="s">
        <v>25</v>
      </c>
      <c r="I346" s="2">
        <v>45077</v>
      </c>
      <c r="J346" t="str">
        <f t="shared" si="30"/>
        <v>Short</v>
      </c>
      <c r="K346" t="str" cm="1">
        <f t="array" ref="K346">_xlfn.IFS(E346&lt;4, "Poor", E346&lt;7, "Average", E346&lt;9, "Good", TRUE, "Excellent")</f>
        <v>Poor</v>
      </c>
      <c r="L346" t="str">
        <f t="shared" si="31"/>
        <v>M1344 - Movie_344</v>
      </c>
      <c r="M346" t="str">
        <f t="shared" si="32"/>
        <v>Spa</v>
      </c>
      <c r="N346" t="str">
        <f t="shared" si="33"/>
        <v>12</v>
      </c>
      <c r="O346">
        <f t="shared" si="34"/>
        <v>9</v>
      </c>
      <c r="P346" t="str">
        <f t="shared" si="35"/>
        <v>Sci-Fi</v>
      </c>
    </row>
    <row r="347" spans="1:16">
      <c r="A347" t="s">
        <v>724</v>
      </c>
      <c r="B347" t="s">
        <v>725</v>
      </c>
      <c r="C347" t="s">
        <v>67</v>
      </c>
      <c r="D347">
        <v>132</v>
      </c>
      <c r="E347">
        <v>7.3</v>
      </c>
      <c r="F347" t="s">
        <v>24</v>
      </c>
      <c r="G347">
        <v>2000</v>
      </c>
      <c r="H347" t="s">
        <v>25</v>
      </c>
      <c r="I347" s="2">
        <v>43943</v>
      </c>
      <c r="J347" t="str">
        <f t="shared" si="30"/>
        <v>Long</v>
      </c>
      <c r="K347" t="str" cm="1">
        <f t="array" ref="K347">_xlfn.IFS(E347&lt;4, "Poor", E347&lt;7, "Average", E347&lt;9, "Good", TRUE, "Excellent")</f>
        <v>Good</v>
      </c>
      <c r="L347" t="str">
        <f t="shared" si="31"/>
        <v>M1345 - Movie_345</v>
      </c>
      <c r="M347" t="str">
        <f t="shared" si="32"/>
        <v>Hin</v>
      </c>
      <c r="N347" t="str">
        <f t="shared" si="33"/>
        <v>00</v>
      </c>
      <c r="O347">
        <f t="shared" si="34"/>
        <v>9</v>
      </c>
      <c r="P347" t="str">
        <f t="shared" si="35"/>
        <v>Thriller</v>
      </c>
    </row>
    <row r="348" spans="1:16">
      <c r="A348" t="s">
        <v>726</v>
      </c>
      <c r="B348" t="s">
        <v>727</v>
      </c>
      <c r="C348" t="s">
        <v>58</v>
      </c>
      <c r="D348">
        <v>180</v>
      </c>
      <c r="E348">
        <v>3.8</v>
      </c>
      <c r="F348" t="s">
        <v>31</v>
      </c>
      <c r="G348">
        <v>1985</v>
      </c>
      <c r="H348" t="s">
        <v>20</v>
      </c>
      <c r="I348" s="2">
        <v>44464</v>
      </c>
      <c r="J348" t="str">
        <f t="shared" si="30"/>
        <v>Long</v>
      </c>
      <c r="K348" t="str" cm="1">
        <f t="array" ref="K348">_xlfn.IFS(E348&lt;4, "Poor", E348&lt;7, "Average", E348&lt;9, "Good", TRUE, "Excellent")</f>
        <v>Poor</v>
      </c>
      <c r="L348" t="str">
        <f t="shared" si="31"/>
        <v>M1346 - Movie_346</v>
      </c>
      <c r="M348" t="str">
        <f t="shared" si="32"/>
        <v>Fre</v>
      </c>
      <c r="N348" t="str">
        <f t="shared" si="33"/>
        <v>85</v>
      </c>
      <c r="O348">
        <f t="shared" si="34"/>
        <v>9</v>
      </c>
      <c r="P348" t="str">
        <f t="shared" si="35"/>
        <v>Sci-Fi</v>
      </c>
    </row>
    <row r="349" spans="1:16">
      <c r="A349" t="s">
        <v>728</v>
      </c>
      <c r="B349" t="s">
        <v>729</v>
      </c>
      <c r="C349" t="s">
        <v>58</v>
      </c>
      <c r="D349">
        <v>182</v>
      </c>
      <c r="E349">
        <v>4.0999999999999996</v>
      </c>
      <c r="F349" t="s">
        <v>61</v>
      </c>
      <c r="G349">
        <v>2005</v>
      </c>
      <c r="H349" t="s">
        <v>25</v>
      </c>
      <c r="I349" s="2">
        <v>45195</v>
      </c>
      <c r="J349" t="str">
        <f t="shared" si="30"/>
        <v>Long</v>
      </c>
      <c r="K349" t="str" cm="1">
        <f t="array" ref="K349">_xlfn.IFS(E349&lt;4, "Poor", E349&lt;7, "Average", E349&lt;9, "Good", TRUE, "Excellent")</f>
        <v>Average</v>
      </c>
      <c r="L349" t="str">
        <f t="shared" si="31"/>
        <v>M1347 - Movie_347</v>
      </c>
      <c r="M349" t="str">
        <f t="shared" si="32"/>
        <v>Ger</v>
      </c>
      <c r="N349" t="str">
        <f t="shared" si="33"/>
        <v>05</v>
      </c>
      <c r="O349">
        <f t="shared" si="34"/>
        <v>9</v>
      </c>
      <c r="P349" t="str">
        <f t="shared" si="35"/>
        <v>Sci-Fi</v>
      </c>
    </row>
    <row r="350" spans="1:16">
      <c r="A350" t="s">
        <v>730</v>
      </c>
      <c r="B350" t="s">
        <v>731</v>
      </c>
      <c r="C350" t="s">
        <v>40</v>
      </c>
      <c r="D350">
        <v>172</v>
      </c>
      <c r="E350">
        <v>1.1000000000000001</v>
      </c>
      <c r="F350" t="s">
        <v>31</v>
      </c>
      <c r="G350">
        <v>2022</v>
      </c>
      <c r="H350" t="s">
        <v>20</v>
      </c>
      <c r="I350" s="2">
        <v>45349</v>
      </c>
      <c r="J350" t="str">
        <f t="shared" si="30"/>
        <v>Long</v>
      </c>
      <c r="K350" t="str" cm="1">
        <f t="array" ref="K350">_xlfn.IFS(E350&lt;4, "Poor", E350&lt;7, "Average", E350&lt;9, "Good", TRUE, "Excellent")</f>
        <v>Poor</v>
      </c>
      <c r="L350" t="str">
        <f t="shared" si="31"/>
        <v>M1348 - Movie_348</v>
      </c>
      <c r="M350" t="str">
        <f t="shared" si="32"/>
        <v>Fre</v>
      </c>
      <c r="N350" t="str">
        <f t="shared" si="33"/>
        <v>22</v>
      </c>
      <c r="O350">
        <f t="shared" si="34"/>
        <v>9</v>
      </c>
      <c r="P350" t="str">
        <f t="shared" si="35"/>
        <v>Comedy</v>
      </c>
    </row>
    <row r="351" spans="1:16">
      <c r="A351" t="s">
        <v>732</v>
      </c>
      <c r="B351" t="s">
        <v>733</v>
      </c>
      <c r="C351" t="s">
        <v>23</v>
      </c>
      <c r="D351">
        <v>147</v>
      </c>
      <c r="E351">
        <v>8.8000000000000007</v>
      </c>
      <c r="F351" t="s">
        <v>19</v>
      </c>
      <c r="G351">
        <v>1986</v>
      </c>
      <c r="H351" t="s">
        <v>20</v>
      </c>
      <c r="I351" s="2">
        <v>45178</v>
      </c>
      <c r="J351" t="str">
        <f t="shared" si="30"/>
        <v>Long</v>
      </c>
      <c r="K351" t="str" cm="1">
        <f t="array" ref="K351">_xlfn.IFS(E351&lt;4, "Poor", E351&lt;7, "Average", E351&lt;9, "Good", TRUE, "Excellent")</f>
        <v>Good</v>
      </c>
      <c r="L351" t="str">
        <f t="shared" si="31"/>
        <v>M1349 - Movie_349</v>
      </c>
      <c r="M351" t="str">
        <f t="shared" si="32"/>
        <v>Jap</v>
      </c>
      <c r="N351" t="str">
        <f t="shared" si="33"/>
        <v>86</v>
      </c>
      <c r="O351">
        <f t="shared" si="34"/>
        <v>9</v>
      </c>
      <c r="P351" t="str">
        <f t="shared" si="35"/>
        <v>Action</v>
      </c>
    </row>
    <row r="352" spans="1:16">
      <c r="A352" t="s">
        <v>734</v>
      </c>
      <c r="B352" t="s">
        <v>735</v>
      </c>
      <c r="C352" t="s">
        <v>58</v>
      </c>
      <c r="D352">
        <v>107</v>
      </c>
      <c r="E352">
        <v>6.1</v>
      </c>
      <c r="F352" t="s">
        <v>31</v>
      </c>
      <c r="G352">
        <v>1991</v>
      </c>
      <c r="H352" t="s">
        <v>20</v>
      </c>
      <c r="I352" s="2">
        <v>45347</v>
      </c>
      <c r="J352" t="str">
        <f t="shared" si="30"/>
        <v>Short</v>
      </c>
      <c r="K352" t="str" cm="1">
        <f t="array" ref="K352">_xlfn.IFS(E352&lt;4, "Poor", E352&lt;7, "Average", E352&lt;9, "Good", TRUE, "Excellent")</f>
        <v>Average</v>
      </c>
      <c r="L352" t="str">
        <f t="shared" si="31"/>
        <v>M1350 - Movie_350</v>
      </c>
      <c r="M352" t="str">
        <f t="shared" si="32"/>
        <v>Fre</v>
      </c>
      <c r="N352" t="str">
        <f t="shared" si="33"/>
        <v>91</v>
      </c>
      <c r="O352">
        <f t="shared" si="34"/>
        <v>9</v>
      </c>
      <c r="P352" t="str">
        <f t="shared" si="35"/>
        <v>Sci-Fi</v>
      </c>
    </row>
    <row r="353" spans="1:16">
      <c r="A353" t="s">
        <v>736</v>
      </c>
      <c r="B353" t="s">
        <v>737</v>
      </c>
      <c r="C353" t="s">
        <v>23</v>
      </c>
      <c r="D353">
        <v>73</v>
      </c>
      <c r="E353">
        <v>4.5999999999999996</v>
      </c>
      <c r="F353" t="s">
        <v>28</v>
      </c>
      <c r="G353">
        <v>1988</v>
      </c>
      <c r="H353" t="s">
        <v>25</v>
      </c>
      <c r="I353" s="2">
        <v>44190</v>
      </c>
      <c r="J353" t="str">
        <f t="shared" si="30"/>
        <v>Short</v>
      </c>
      <c r="K353" t="str" cm="1">
        <f t="array" ref="K353">_xlfn.IFS(E353&lt;4, "Poor", E353&lt;7, "Average", E353&lt;9, "Good", TRUE, "Excellent")</f>
        <v>Average</v>
      </c>
      <c r="L353" t="str">
        <f t="shared" si="31"/>
        <v>M1351 - Movie_351</v>
      </c>
      <c r="M353" t="str">
        <f t="shared" si="32"/>
        <v>Spa</v>
      </c>
      <c r="N353" t="str">
        <f t="shared" si="33"/>
        <v>88</v>
      </c>
      <c r="O353">
        <f t="shared" si="34"/>
        <v>9</v>
      </c>
      <c r="P353" t="str">
        <f t="shared" si="35"/>
        <v>Action</v>
      </c>
    </row>
    <row r="354" spans="1:16">
      <c r="A354" t="s">
        <v>738</v>
      </c>
      <c r="B354" t="s">
        <v>739</v>
      </c>
      <c r="C354" t="s">
        <v>40</v>
      </c>
      <c r="D354">
        <v>124</v>
      </c>
      <c r="E354">
        <v>2.2999999999999998</v>
      </c>
      <c r="F354" t="s">
        <v>35</v>
      </c>
      <c r="G354">
        <v>2010</v>
      </c>
      <c r="H354" t="s">
        <v>20</v>
      </c>
      <c r="I354" s="2">
        <v>44075</v>
      </c>
      <c r="J354" t="str">
        <f t="shared" si="30"/>
        <v>Long</v>
      </c>
      <c r="K354" t="str" cm="1">
        <f t="array" ref="K354">_xlfn.IFS(E354&lt;4, "Poor", E354&lt;7, "Average", E354&lt;9, "Good", TRUE, "Excellent")</f>
        <v>Poor</v>
      </c>
      <c r="L354" t="str">
        <f t="shared" si="31"/>
        <v>M1352 - Movie_352</v>
      </c>
      <c r="M354" t="str">
        <f t="shared" si="32"/>
        <v>Eng</v>
      </c>
      <c r="N354" t="str">
        <f t="shared" si="33"/>
        <v>10</v>
      </c>
      <c r="O354">
        <f t="shared" si="34"/>
        <v>9</v>
      </c>
      <c r="P354" t="str">
        <f t="shared" si="35"/>
        <v>Comedy</v>
      </c>
    </row>
    <row r="355" spans="1:16">
      <c r="A355" t="s">
        <v>740</v>
      </c>
      <c r="B355" t="s">
        <v>741</v>
      </c>
      <c r="C355" t="s">
        <v>23</v>
      </c>
      <c r="D355">
        <v>182</v>
      </c>
      <c r="E355">
        <v>6.7</v>
      </c>
      <c r="F355" t="s">
        <v>35</v>
      </c>
      <c r="G355">
        <v>2000</v>
      </c>
      <c r="H355" t="s">
        <v>20</v>
      </c>
      <c r="I355" s="2">
        <v>43856</v>
      </c>
      <c r="J355" t="str">
        <f t="shared" si="30"/>
        <v>Long</v>
      </c>
      <c r="K355" t="str" cm="1">
        <f t="array" ref="K355">_xlfn.IFS(E355&lt;4, "Poor", E355&lt;7, "Average", E355&lt;9, "Good", TRUE, "Excellent")</f>
        <v>Average</v>
      </c>
      <c r="L355" t="str">
        <f t="shared" si="31"/>
        <v>M1353 - Movie_353</v>
      </c>
      <c r="M355" t="str">
        <f t="shared" si="32"/>
        <v>Eng</v>
      </c>
      <c r="N355" t="str">
        <f t="shared" si="33"/>
        <v>00</v>
      </c>
      <c r="O355">
        <f t="shared" si="34"/>
        <v>9</v>
      </c>
      <c r="P355" t="str">
        <f t="shared" si="35"/>
        <v>Action</v>
      </c>
    </row>
    <row r="356" spans="1:16">
      <c r="A356" t="s">
        <v>742</v>
      </c>
      <c r="B356" t="s">
        <v>743</v>
      </c>
      <c r="C356" t="s">
        <v>58</v>
      </c>
      <c r="D356">
        <v>89</v>
      </c>
      <c r="E356">
        <v>1.3</v>
      </c>
      <c r="F356" t="s">
        <v>19</v>
      </c>
      <c r="G356">
        <v>1995</v>
      </c>
      <c r="H356" t="s">
        <v>25</v>
      </c>
      <c r="I356" s="2">
        <v>45280</v>
      </c>
      <c r="J356" t="str">
        <f t="shared" si="30"/>
        <v>Short</v>
      </c>
      <c r="K356" t="str" cm="1">
        <f t="array" ref="K356">_xlfn.IFS(E356&lt;4, "Poor", E356&lt;7, "Average", E356&lt;9, "Good", TRUE, "Excellent")</f>
        <v>Poor</v>
      </c>
      <c r="L356" t="str">
        <f t="shared" si="31"/>
        <v>M1354 - Movie_354</v>
      </c>
      <c r="M356" t="str">
        <f t="shared" si="32"/>
        <v>Jap</v>
      </c>
      <c r="N356" t="str">
        <f t="shared" si="33"/>
        <v>95</v>
      </c>
      <c r="O356">
        <f t="shared" si="34"/>
        <v>9</v>
      </c>
      <c r="P356" t="str">
        <f t="shared" si="35"/>
        <v>Sci-Fi</v>
      </c>
    </row>
    <row r="357" spans="1:16">
      <c r="A357" t="s">
        <v>744</v>
      </c>
      <c r="B357" t="s">
        <v>745</v>
      </c>
      <c r="C357" t="s">
        <v>23</v>
      </c>
      <c r="D357">
        <v>76</v>
      </c>
      <c r="E357">
        <v>7.7</v>
      </c>
      <c r="F357" t="s">
        <v>28</v>
      </c>
      <c r="G357">
        <v>1980</v>
      </c>
      <c r="H357" t="s">
        <v>25</v>
      </c>
      <c r="I357" s="2">
        <v>44112</v>
      </c>
      <c r="J357" t="str">
        <f t="shared" si="30"/>
        <v>Short</v>
      </c>
      <c r="K357" t="str" cm="1">
        <f t="array" ref="K357">_xlfn.IFS(E357&lt;4, "Poor", E357&lt;7, "Average", E357&lt;9, "Good", TRUE, "Excellent")</f>
        <v>Good</v>
      </c>
      <c r="L357" t="str">
        <f t="shared" si="31"/>
        <v>M1355 - Movie_355</v>
      </c>
      <c r="M357" t="str">
        <f t="shared" si="32"/>
        <v>Spa</v>
      </c>
      <c r="N357" t="str">
        <f t="shared" si="33"/>
        <v>80</v>
      </c>
      <c r="O357">
        <f t="shared" si="34"/>
        <v>9</v>
      </c>
      <c r="P357" t="str">
        <f t="shared" si="35"/>
        <v>Action</v>
      </c>
    </row>
    <row r="358" spans="1:16">
      <c r="A358" t="s">
        <v>746</v>
      </c>
      <c r="B358" t="s">
        <v>747</v>
      </c>
      <c r="C358" t="s">
        <v>18</v>
      </c>
      <c r="D358">
        <v>162</v>
      </c>
      <c r="E358">
        <v>2.9</v>
      </c>
      <c r="F358" t="s">
        <v>61</v>
      </c>
      <c r="G358">
        <v>1996</v>
      </c>
      <c r="H358" t="s">
        <v>25</v>
      </c>
      <c r="I358" s="2">
        <v>45267</v>
      </c>
      <c r="J358" t="str">
        <f t="shared" si="30"/>
        <v>Long</v>
      </c>
      <c r="K358" t="str" cm="1">
        <f t="array" ref="K358">_xlfn.IFS(E358&lt;4, "Poor", E358&lt;7, "Average", E358&lt;9, "Good", TRUE, "Excellent")</f>
        <v>Poor</v>
      </c>
      <c r="L358" t="str">
        <f t="shared" si="31"/>
        <v>M1356 - Movie_356</v>
      </c>
      <c r="M358" t="str">
        <f t="shared" si="32"/>
        <v>Ger</v>
      </c>
      <c r="N358" t="str">
        <f t="shared" si="33"/>
        <v>96</v>
      </c>
      <c r="O358">
        <f t="shared" si="34"/>
        <v>9</v>
      </c>
      <c r="P358" t="str">
        <f t="shared" si="35"/>
        <v>Horror</v>
      </c>
    </row>
    <row r="359" spans="1:16">
      <c r="A359" t="s">
        <v>748</v>
      </c>
      <c r="B359" t="s">
        <v>749</v>
      </c>
      <c r="C359" t="s">
        <v>40</v>
      </c>
      <c r="D359">
        <v>185</v>
      </c>
      <c r="E359">
        <v>4.8</v>
      </c>
      <c r="F359" t="s">
        <v>24</v>
      </c>
      <c r="G359">
        <v>2004</v>
      </c>
      <c r="H359" t="s">
        <v>20</v>
      </c>
      <c r="I359" s="2">
        <v>43854</v>
      </c>
      <c r="J359" t="str">
        <f t="shared" si="30"/>
        <v>Long</v>
      </c>
      <c r="K359" t="str" cm="1">
        <f t="array" ref="K359">_xlfn.IFS(E359&lt;4, "Poor", E359&lt;7, "Average", E359&lt;9, "Good", TRUE, "Excellent")</f>
        <v>Average</v>
      </c>
      <c r="L359" t="str">
        <f t="shared" si="31"/>
        <v>M1357 - Movie_357</v>
      </c>
      <c r="M359" t="str">
        <f t="shared" si="32"/>
        <v>Hin</v>
      </c>
      <c r="N359" t="str">
        <f t="shared" si="33"/>
        <v>04</v>
      </c>
      <c r="O359">
        <f t="shared" si="34"/>
        <v>9</v>
      </c>
      <c r="P359" t="str">
        <f t="shared" si="35"/>
        <v>Comedy</v>
      </c>
    </row>
    <row r="360" spans="1:16">
      <c r="A360" t="s">
        <v>750</v>
      </c>
      <c r="B360" t="s">
        <v>751</v>
      </c>
      <c r="C360" t="s">
        <v>67</v>
      </c>
      <c r="D360">
        <v>78</v>
      </c>
      <c r="E360">
        <v>4.0999999999999996</v>
      </c>
      <c r="F360" t="s">
        <v>61</v>
      </c>
      <c r="G360">
        <v>1995</v>
      </c>
      <c r="H360" t="s">
        <v>20</v>
      </c>
      <c r="I360" s="2">
        <v>44166</v>
      </c>
      <c r="J360" t="str">
        <f t="shared" si="30"/>
        <v>Short</v>
      </c>
      <c r="K360" t="str" cm="1">
        <f t="array" ref="K360">_xlfn.IFS(E360&lt;4, "Poor", E360&lt;7, "Average", E360&lt;9, "Good", TRUE, "Excellent")</f>
        <v>Average</v>
      </c>
      <c r="L360" t="str">
        <f t="shared" si="31"/>
        <v>M1358 - Movie_358</v>
      </c>
      <c r="M360" t="str">
        <f t="shared" si="32"/>
        <v>Ger</v>
      </c>
      <c r="N360" t="str">
        <f t="shared" si="33"/>
        <v>95</v>
      </c>
      <c r="O360">
        <f t="shared" si="34"/>
        <v>9</v>
      </c>
      <c r="P360" t="str">
        <f t="shared" si="35"/>
        <v>Thriller</v>
      </c>
    </row>
    <row r="361" spans="1:16">
      <c r="A361" t="s">
        <v>752</v>
      </c>
      <c r="B361" t="s">
        <v>753</v>
      </c>
      <c r="C361" t="s">
        <v>23</v>
      </c>
      <c r="D361">
        <v>73</v>
      </c>
      <c r="E361">
        <v>4.3</v>
      </c>
      <c r="F361" t="s">
        <v>24</v>
      </c>
      <c r="G361">
        <v>2008</v>
      </c>
      <c r="H361" t="s">
        <v>20</v>
      </c>
      <c r="I361" s="2">
        <v>44847</v>
      </c>
      <c r="J361" t="str">
        <f t="shared" si="30"/>
        <v>Short</v>
      </c>
      <c r="K361" t="str" cm="1">
        <f t="array" ref="K361">_xlfn.IFS(E361&lt;4, "Poor", E361&lt;7, "Average", E361&lt;9, "Good", TRUE, "Excellent")</f>
        <v>Average</v>
      </c>
      <c r="L361" t="str">
        <f t="shared" si="31"/>
        <v>M1359 - Movie_359</v>
      </c>
      <c r="M361" t="str">
        <f t="shared" si="32"/>
        <v>Hin</v>
      </c>
      <c r="N361" t="str">
        <f t="shared" si="33"/>
        <v>08</v>
      </c>
      <c r="O361">
        <f t="shared" si="34"/>
        <v>9</v>
      </c>
      <c r="P361" t="str">
        <f t="shared" si="35"/>
        <v>Action</v>
      </c>
    </row>
    <row r="362" spans="1:16">
      <c r="A362" t="s">
        <v>754</v>
      </c>
      <c r="B362" t="s">
        <v>755</v>
      </c>
      <c r="C362" t="s">
        <v>58</v>
      </c>
      <c r="D362">
        <v>98</v>
      </c>
      <c r="E362">
        <v>7.5</v>
      </c>
      <c r="F362" t="s">
        <v>35</v>
      </c>
      <c r="G362">
        <v>1997</v>
      </c>
      <c r="H362" t="s">
        <v>25</v>
      </c>
      <c r="I362" s="2">
        <v>44541</v>
      </c>
      <c r="J362" t="str">
        <f t="shared" si="30"/>
        <v>Short</v>
      </c>
      <c r="K362" t="str" cm="1">
        <f t="array" ref="K362">_xlfn.IFS(E362&lt;4, "Poor", E362&lt;7, "Average", E362&lt;9, "Good", TRUE, "Excellent")</f>
        <v>Good</v>
      </c>
      <c r="L362" t="str">
        <f t="shared" si="31"/>
        <v>M1360 - Movie_360</v>
      </c>
      <c r="M362" t="str">
        <f t="shared" si="32"/>
        <v>Eng</v>
      </c>
      <c r="N362" t="str">
        <f t="shared" si="33"/>
        <v>97</v>
      </c>
      <c r="O362">
        <f t="shared" si="34"/>
        <v>9</v>
      </c>
      <c r="P362" t="str">
        <f t="shared" si="35"/>
        <v>Sci-Fi</v>
      </c>
    </row>
    <row r="363" spans="1:16">
      <c r="A363" t="s">
        <v>756</v>
      </c>
      <c r="B363" t="s">
        <v>757</v>
      </c>
      <c r="C363" t="s">
        <v>40</v>
      </c>
      <c r="D363">
        <v>98</v>
      </c>
      <c r="E363">
        <v>8</v>
      </c>
      <c r="F363" t="s">
        <v>31</v>
      </c>
      <c r="G363">
        <v>2001</v>
      </c>
      <c r="H363" t="s">
        <v>20</v>
      </c>
      <c r="I363" s="2">
        <v>44902</v>
      </c>
      <c r="J363" t="str">
        <f t="shared" si="30"/>
        <v>Short</v>
      </c>
      <c r="K363" t="str" cm="1">
        <f t="array" ref="K363">_xlfn.IFS(E363&lt;4, "Poor", E363&lt;7, "Average", E363&lt;9, "Good", TRUE, "Excellent")</f>
        <v>Good</v>
      </c>
      <c r="L363" t="str">
        <f t="shared" si="31"/>
        <v>M1361 - Movie_361</v>
      </c>
      <c r="M363" t="str">
        <f t="shared" si="32"/>
        <v>Fre</v>
      </c>
      <c r="N363" t="str">
        <f t="shared" si="33"/>
        <v>01</v>
      </c>
      <c r="O363">
        <f t="shared" si="34"/>
        <v>9</v>
      </c>
      <c r="P363" t="str">
        <f t="shared" si="35"/>
        <v>Comedy</v>
      </c>
    </row>
    <row r="364" spans="1:16">
      <c r="A364" t="s">
        <v>758</v>
      </c>
      <c r="B364" t="s">
        <v>759</v>
      </c>
      <c r="C364" t="s">
        <v>58</v>
      </c>
      <c r="D364">
        <v>137</v>
      </c>
      <c r="E364">
        <v>6.1</v>
      </c>
      <c r="F364" t="s">
        <v>31</v>
      </c>
      <c r="G364">
        <v>1999</v>
      </c>
      <c r="H364" t="s">
        <v>20</v>
      </c>
      <c r="I364" s="2">
        <v>44890</v>
      </c>
      <c r="J364" t="str">
        <f t="shared" si="30"/>
        <v>Long</v>
      </c>
      <c r="K364" t="str" cm="1">
        <f t="array" ref="K364">_xlfn.IFS(E364&lt;4, "Poor", E364&lt;7, "Average", E364&lt;9, "Good", TRUE, "Excellent")</f>
        <v>Average</v>
      </c>
      <c r="L364" t="str">
        <f t="shared" si="31"/>
        <v>M1362 - Movie_362</v>
      </c>
      <c r="M364" t="str">
        <f t="shared" si="32"/>
        <v>Fre</v>
      </c>
      <c r="N364" t="str">
        <f t="shared" si="33"/>
        <v>99</v>
      </c>
      <c r="O364">
        <f t="shared" si="34"/>
        <v>9</v>
      </c>
      <c r="P364" t="str">
        <f t="shared" si="35"/>
        <v>Sci-Fi</v>
      </c>
    </row>
    <row r="365" spans="1:16">
      <c r="A365" t="s">
        <v>760</v>
      </c>
      <c r="B365" t="s">
        <v>761</v>
      </c>
      <c r="C365" t="s">
        <v>58</v>
      </c>
      <c r="D365">
        <v>81</v>
      </c>
      <c r="E365">
        <v>1.8</v>
      </c>
      <c r="F365" t="s">
        <v>19</v>
      </c>
      <c r="G365">
        <v>2017</v>
      </c>
      <c r="H365" t="s">
        <v>25</v>
      </c>
      <c r="I365" s="2">
        <v>45434</v>
      </c>
      <c r="J365" t="str">
        <f t="shared" si="30"/>
        <v>Short</v>
      </c>
      <c r="K365" t="str" cm="1">
        <f t="array" ref="K365">_xlfn.IFS(E365&lt;4, "Poor", E365&lt;7, "Average", E365&lt;9, "Good", TRUE, "Excellent")</f>
        <v>Poor</v>
      </c>
      <c r="L365" t="str">
        <f t="shared" si="31"/>
        <v>M1363 - Movie_363</v>
      </c>
      <c r="M365" t="str">
        <f t="shared" si="32"/>
        <v>Jap</v>
      </c>
      <c r="N365" t="str">
        <f t="shared" si="33"/>
        <v>17</v>
      </c>
      <c r="O365">
        <f t="shared" si="34"/>
        <v>9</v>
      </c>
      <c r="P365" t="str">
        <f t="shared" si="35"/>
        <v>Sci-Fi</v>
      </c>
    </row>
    <row r="366" spans="1:16">
      <c r="A366" t="s">
        <v>762</v>
      </c>
      <c r="B366" t="s">
        <v>763</v>
      </c>
      <c r="C366" t="s">
        <v>23</v>
      </c>
      <c r="D366">
        <v>123</v>
      </c>
      <c r="E366">
        <v>1.5</v>
      </c>
      <c r="F366" t="s">
        <v>61</v>
      </c>
      <c r="G366">
        <v>2016</v>
      </c>
      <c r="H366" t="s">
        <v>25</v>
      </c>
      <c r="I366" s="2">
        <v>45515</v>
      </c>
      <c r="J366" t="str">
        <f t="shared" si="30"/>
        <v>Long</v>
      </c>
      <c r="K366" t="str" cm="1">
        <f t="array" ref="K366">_xlfn.IFS(E366&lt;4, "Poor", E366&lt;7, "Average", E366&lt;9, "Good", TRUE, "Excellent")</f>
        <v>Poor</v>
      </c>
      <c r="L366" t="str">
        <f t="shared" si="31"/>
        <v>M1364 - Movie_364</v>
      </c>
      <c r="M366" t="str">
        <f t="shared" si="32"/>
        <v>Ger</v>
      </c>
      <c r="N366" t="str">
        <f t="shared" si="33"/>
        <v>16</v>
      </c>
      <c r="O366">
        <f t="shared" si="34"/>
        <v>9</v>
      </c>
      <c r="P366" t="str">
        <f t="shared" si="35"/>
        <v>Action</v>
      </c>
    </row>
    <row r="367" spans="1:16">
      <c r="A367" t="s">
        <v>764</v>
      </c>
      <c r="B367" t="s">
        <v>765</v>
      </c>
      <c r="C367" t="s">
        <v>58</v>
      </c>
      <c r="D367">
        <v>90</v>
      </c>
      <c r="E367">
        <v>2.4</v>
      </c>
      <c r="F367" t="s">
        <v>28</v>
      </c>
      <c r="G367">
        <v>1980</v>
      </c>
      <c r="H367" t="s">
        <v>25</v>
      </c>
      <c r="I367" s="2">
        <v>45307</v>
      </c>
      <c r="J367" t="str">
        <f t="shared" si="30"/>
        <v>Short</v>
      </c>
      <c r="K367" t="str" cm="1">
        <f t="array" ref="K367">_xlfn.IFS(E367&lt;4, "Poor", E367&lt;7, "Average", E367&lt;9, "Good", TRUE, "Excellent")</f>
        <v>Poor</v>
      </c>
      <c r="L367" t="str">
        <f t="shared" si="31"/>
        <v>M1365 - Movie_365</v>
      </c>
      <c r="M367" t="str">
        <f t="shared" si="32"/>
        <v>Spa</v>
      </c>
      <c r="N367" t="str">
        <f t="shared" si="33"/>
        <v>80</v>
      </c>
      <c r="O367">
        <f t="shared" si="34"/>
        <v>9</v>
      </c>
      <c r="P367" t="str">
        <f t="shared" si="35"/>
        <v>Sci-Fi</v>
      </c>
    </row>
    <row r="368" spans="1:16">
      <c r="A368" t="s">
        <v>766</v>
      </c>
      <c r="B368" t="s">
        <v>767</v>
      </c>
      <c r="C368" t="s">
        <v>23</v>
      </c>
      <c r="D368">
        <v>166</v>
      </c>
      <c r="E368">
        <v>6.6</v>
      </c>
      <c r="F368" t="s">
        <v>24</v>
      </c>
      <c r="G368">
        <v>1996</v>
      </c>
      <c r="H368" t="s">
        <v>25</v>
      </c>
      <c r="I368" s="2">
        <v>44361</v>
      </c>
      <c r="J368" t="str">
        <f t="shared" si="30"/>
        <v>Long</v>
      </c>
      <c r="K368" t="str" cm="1">
        <f t="array" ref="K368">_xlfn.IFS(E368&lt;4, "Poor", E368&lt;7, "Average", E368&lt;9, "Good", TRUE, "Excellent")</f>
        <v>Average</v>
      </c>
      <c r="L368" t="str">
        <f t="shared" si="31"/>
        <v>M1366 - Movie_366</v>
      </c>
      <c r="M368" t="str">
        <f t="shared" si="32"/>
        <v>Hin</v>
      </c>
      <c r="N368" t="str">
        <f t="shared" si="33"/>
        <v>96</v>
      </c>
      <c r="O368">
        <f t="shared" si="34"/>
        <v>9</v>
      </c>
      <c r="P368" t="str">
        <f t="shared" si="35"/>
        <v>Action</v>
      </c>
    </row>
    <row r="369" spans="1:16">
      <c r="A369" t="s">
        <v>768</v>
      </c>
      <c r="B369" t="s">
        <v>769</v>
      </c>
      <c r="C369" t="s">
        <v>67</v>
      </c>
      <c r="D369">
        <v>117</v>
      </c>
      <c r="E369">
        <v>7.1</v>
      </c>
      <c r="F369" t="s">
        <v>31</v>
      </c>
      <c r="G369">
        <v>2021</v>
      </c>
      <c r="H369" t="s">
        <v>20</v>
      </c>
      <c r="I369" s="2">
        <v>44172</v>
      </c>
      <c r="J369" t="str">
        <f t="shared" si="30"/>
        <v>Short</v>
      </c>
      <c r="K369" t="str" cm="1">
        <f t="array" ref="K369">_xlfn.IFS(E369&lt;4, "Poor", E369&lt;7, "Average", E369&lt;9, "Good", TRUE, "Excellent")</f>
        <v>Good</v>
      </c>
      <c r="L369" t="str">
        <f t="shared" si="31"/>
        <v>M1367 - Movie_367</v>
      </c>
      <c r="M369" t="str">
        <f t="shared" si="32"/>
        <v>Fre</v>
      </c>
      <c r="N369" t="str">
        <f t="shared" si="33"/>
        <v>21</v>
      </c>
      <c r="O369">
        <f t="shared" si="34"/>
        <v>9</v>
      </c>
      <c r="P369" t="str">
        <f t="shared" si="35"/>
        <v>Thriller</v>
      </c>
    </row>
    <row r="370" spans="1:16">
      <c r="A370" t="s">
        <v>770</v>
      </c>
      <c r="B370" t="s">
        <v>771</v>
      </c>
      <c r="C370" t="s">
        <v>18</v>
      </c>
      <c r="D370">
        <v>193</v>
      </c>
      <c r="E370">
        <v>3.4</v>
      </c>
      <c r="F370" t="s">
        <v>19</v>
      </c>
      <c r="G370">
        <v>2003</v>
      </c>
      <c r="H370" t="s">
        <v>25</v>
      </c>
      <c r="I370" s="2">
        <v>44592</v>
      </c>
      <c r="J370" t="str">
        <f t="shared" si="30"/>
        <v>Long</v>
      </c>
      <c r="K370" t="str" cm="1">
        <f t="array" ref="K370">_xlfn.IFS(E370&lt;4, "Poor", E370&lt;7, "Average", E370&lt;9, "Good", TRUE, "Excellent")</f>
        <v>Poor</v>
      </c>
      <c r="L370" t="str">
        <f t="shared" si="31"/>
        <v>M1368 - Movie_368</v>
      </c>
      <c r="M370" t="str">
        <f t="shared" si="32"/>
        <v>Jap</v>
      </c>
      <c r="N370" t="str">
        <f t="shared" si="33"/>
        <v>03</v>
      </c>
      <c r="O370">
        <f t="shared" si="34"/>
        <v>9</v>
      </c>
      <c r="P370" t="str">
        <f t="shared" si="35"/>
        <v>Horror</v>
      </c>
    </row>
    <row r="371" spans="1:16">
      <c r="A371" t="s">
        <v>772</v>
      </c>
      <c r="B371" t="s">
        <v>773</v>
      </c>
      <c r="C371" t="s">
        <v>58</v>
      </c>
      <c r="D371">
        <v>157</v>
      </c>
      <c r="E371">
        <v>7</v>
      </c>
      <c r="F371" t="s">
        <v>61</v>
      </c>
      <c r="G371">
        <v>2024</v>
      </c>
      <c r="H371" t="s">
        <v>20</v>
      </c>
      <c r="I371" s="2">
        <v>44090</v>
      </c>
      <c r="J371" t="str">
        <f t="shared" si="30"/>
        <v>Long</v>
      </c>
      <c r="K371" t="str" cm="1">
        <f t="array" ref="K371">_xlfn.IFS(E371&lt;4, "Poor", E371&lt;7, "Average", E371&lt;9, "Good", TRUE, "Excellent")</f>
        <v>Good</v>
      </c>
      <c r="L371" t="str">
        <f t="shared" si="31"/>
        <v>M1369 - Movie_369</v>
      </c>
      <c r="M371" t="str">
        <f t="shared" si="32"/>
        <v>Ger</v>
      </c>
      <c r="N371" t="str">
        <f t="shared" si="33"/>
        <v>24</v>
      </c>
      <c r="O371">
        <f t="shared" si="34"/>
        <v>9</v>
      </c>
      <c r="P371" t="str">
        <f t="shared" si="35"/>
        <v>Sci-Fi</v>
      </c>
    </row>
    <row r="372" spans="1:16">
      <c r="A372" t="s">
        <v>774</v>
      </c>
      <c r="B372" t="s">
        <v>775</v>
      </c>
      <c r="C372" t="s">
        <v>58</v>
      </c>
      <c r="D372">
        <v>175</v>
      </c>
      <c r="E372">
        <v>5.4</v>
      </c>
      <c r="F372" t="s">
        <v>28</v>
      </c>
      <c r="G372">
        <v>1995</v>
      </c>
      <c r="H372" t="s">
        <v>25</v>
      </c>
      <c r="I372" s="2">
        <v>45366</v>
      </c>
      <c r="J372" t="str">
        <f t="shared" si="30"/>
        <v>Long</v>
      </c>
      <c r="K372" t="str" cm="1">
        <f t="array" ref="K372">_xlfn.IFS(E372&lt;4, "Poor", E372&lt;7, "Average", E372&lt;9, "Good", TRUE, "Excellent")</f>
        <v>Average</v>
      </c>
      <c r="L372" t="str">
        <f t="shared" si="31"/>
        <v>M1370 - Movie_370</v>
      </c>
      <c r="M372" t="str">
        <f t="shared" si="32"/>
        <v>Spa</v>
      </c>
      <c r="N372" t="str">
        <f t="shared" si="33"/>
        <v>95</v>
      </c>
      <c r="O372">
        <f t="shared" si="34"/>
        <v>9</v>
      </c>
      <c r="P372" t="str">
        <f t="shared" si="35"/>
        <v>Sci-Fi</v>
      </c>
    </row>
    <row r="373" spans="1:16">
      <c r="A373" t="s">
        <v>776</v>
      </c>
      <c r="B373" t="s">
        <v>777</v>
      </c>
      <c r="C373" t="s">
        <v>58</v>
      </c>
      <c r="D373">
        <v>173</v>
      </c>
      <c r="E373">
        <v>5</v>
      </c>
      <c r="F373" t="s">
        <v>35</v>
      </c>
      <c r="G373">
        <v>1983</v>
      </c>
      <c r="H373" t="s">
        <v>20</v>
      </c>
      <c r="I373" s="2">
        <v>45430</v>
      </c>
      <c r="J373" t="str">
        <f t="shared" si="30"/>
        <v>Long</v>
      </c>
      <c r="K373" t="str" cm="1">
        <f t="array" ref="K373">_xlfn.IFS(E373&lt;4, "Poor", E373&lt;7, "Average", E373&lt;9, "Good", TRUE, "Excellent")</f>
        <v>Average</v>
      </c>
      <c r="L373" t="str">
        <f t="shared" si="31"/>
        <v>M1371 - Movie_371</v>
      </c>
      <c r="M373" t="str">
        <f t="shared" si="32"/>
        <v>Eng</v>
      </c>
      <c r="N373" t="str">
        <f t="shared" si="33"/>
        <v>83</v>
      </c>
      <c r="O373">
        <f t="shared" si="34"/>
        <v>9</v>
      </c>
      <c r="P373" t="str">
        <f t="shared" si="35"/>
        <v>Sci-Fi</v>
      </c>
    </row>
    <row r="374" spans="1:16">
      <c r="A374" t="s">
        <v>778</v>
      </c>
      <c r="B374" t="s">
        <v>779</v>
      </c>
      <c r="C374" t="s">
        <v>34</v>
      </c>
      <c r="D374">
        <v>136</v>
      </c>
      <c r="E374">
        <v>3.5</v>
      </c>
      <c r="F374" t="s">
        <v>28</v>
      </c>
      <c r="G374">
        <v>2022</v>
      </c>
      <c r="H374" t="s">
        <v>25</v>
      </c>
      <c r="I374" s="2">
        <v>44381</v>
      </c>
      <c r="J374" t="str">
        <f t="shared" si="30"/>
        <v>Long</v>
      </c>
      <c r="K374" t="str" cm="1">
        <f t="array" ref="K374">_xlfn.IFS(E374&lt;4, "Poor", E374&lt;7, "Average", E374&lt;9, "Good", TRUE, "Excellent")</f>
        <v>Poor</v>
      </c>
      <c r="L374" t="str">
        <f t="shared" si="31"/>
        <v>M1372 - Movie_372</v>
      </c>
      <c r="M374" t="str">
        <f t="shared" si="32"/>
        <v>Spa</v>
      </c>
      <c r="N374" t="str">
        <f t="shared" si="33"/>
        <v>22</v>
      </c>
      <c r="O374">
        <f t="shared" si="34"/>
        <v>9</v>
      </c>
      <c r="P374" t="str">
        <f t="shared" si="35"/>
        <v>Drama</v>
      </c>
    </row>
    <row r="375" spans="1:16">
      <c r="A375" t="s">
        <v>780</v>
      </c>
      <c r="B375" t="s">
        <v>781</v>
      </c>
      <c r="C375" t="s">
        <v>34</v>
      </c>
      <c r="D375">
        <v>169</v>
      </c>
      <c r="E375">
        <v>7.8</v>
      </c>
      <c r="F375" t="s">
        <v>35</v>
      </c>
      <c r="G375">
        <v>1987</v>
      </c>
      <c r="H375" t="s">
        <v>25</v>
      </c>
      <c r="I375" s="2">
        <v>45332</v>
      </c>
      <c r="J375" t="str">
        <f t="shared" si="30"/>
        <v>Long</v>
      </c>
      <c r="K375" t="str" cm="1">
        <f t="array" ref="K375">_xlfn.IFS(E375&lt;4, "Poor", E375&lt;7, "Average", E375&lt;9, "Good", TRUE, "Excellent")</f>
        <v>Good</v>
      </c>
      <c r="L375" t="str">
        <f t="shared" si="31"/>
        <v>M1373 - Movie_373</v>
      </c>
      <c r="M375" t="str">
        <f t="shared" si="32"/>
        <v>Eng</v>
      </c>
      <c r="N375" t="str">
        <f t="shared" si="33"/>
        <v>87</v>
      </c>
      <c r="O375">
        <f t="shared" si="34"/>
        <v>9</v>
      </c>
      <c r="P375" t="str">
        <f t="shared" si="35"/>
        <v>Drama</v>
      </c>
    </row>
    <row r="376" spans="1:16">
      <c r="A376" t="s">
        <v>782</v>
      </c>
      <c r="B376" t="s">
        <v>783</v>
      </c>
      <c r="C376" t="s">
        <v>40</v>
      </c>
      <c r="D376">
        <v>138</v>
      </c>
      <c r="E376">
        <v>2</v>
      </c>
      <c r="F376" t="s">
        <v>61</v>
      </c>
      <c r="G376">
        <v>2009</v>
      </c>
      <c r="H376" t="s">
        <v>20</v>
      </c>
      <c r="I376" s="2">
        <v>44072</v>
      </c>
      <c r="J376" t="str">
        <f t="shared" si="30"/>
        <v>Long</v>
      </c>
      <c r="K376" t="str" cm="1">
        <f t="array" ref="K376">_xlfn.IFS(E376&lt;4, "Poor", E376&lt;7, "Average", E376&lt;9, "Good", TRUE, "Excellent")</f>
        <v>Poor</v>
      </c>
      <c r="L376" t="str">
        <f t="shared" si="31"/>
        <v>M1374 - Movie_374</v>
      </c>
      <c r="M376" t="str">
        <f t="shared" si="32"/>
        <v>Ger</v>
      </c>
      <c r="N376" t="str">
        <f t="shared" si="33"/>
        <v>09</v>
      </c>
      <c r="O376">
        <f t="shared" si="34"/>
        <v>9</v>
      </c>
      <c r="P376" t="str">
        <f t="shared" si="35"/>
        <v>Comedy</v>
      </c>
    </row>
    <row r="377" spans="1:16">
      <c r="A377" t="s">
        <v>784</v>
      </c>
      <c r="B377" t="s">
        <v>785</v>
      </c>
      <c r="C377" t="s">
        <v>18</v>
      </c>
      <c r="D377">
        <v>75</v>
      </c>
      <c r="E377">
        <v>4.9000000000000004</v>
      </c>
      <c r="F377" t="s">
        <v>28</v>
      </c>
      <c r="G377">
        <v>1999</v>
      </c>
      <c r="H377" t="s">
        <v>20</v>
      </c>
      <c r="I377" s="2">
        <v>45410</v>
      </c>
      <c r="J377" t="str">
        <f t="shared" si="30"/>
        <v>Short</v>
      </c>
      <c r="K377" t="str" cm="1">
        <f t="array" ref="K377">_xlfn.IFS(E377&lt;4, "Poor", E377&lt;7, "Average", E377&lt;9, "Good", TRUE, "Excellent")</f>
        <v>Average</v>
      </c>
      <c r="L377" t="str">
        <f t="shared" si="31"/>
        <v>M1375 - Movie_375</v>
      </c>
      <c r="M377" t="str">
        <f t="shared" si="32"/>
        <v>Spa</v>
      </c>
      <c r="N377" t="str">
        <f t="shared" si="33"/>
        <v>99</v>
      </c>
      <c r="O377">
        <f t="shared" si="34"/>
        <v>9</v>
      </c>
      <c r="P377" t="str">
        <f t="shared" si="35"/>
        <v>Horror</v>
      </c>
    </row>
    <row r="378" spans="1:16">
      <c r="A378" t="s">
        <v>786</v>
      </c>
      <c r="B378" t="s">
        <v>787</v>
      </c>
      <c r="C378" t="s">
        <v>18</v>
      </c>
      <c r="D378">
        <v>85</v>
      </c>
      <c r="E378">
        <v>3.5</v>
      </c>
      <c r="F378" t="s">
        <v>19</v>
      </c>
      <c r="G378">
        <v>1990</v>
      </c>
      <c r="H378" t="s">
        <v>20</v>
      </c>
      <c r="I378" s="2">
        <v>43891</v>
      </c>
      <c r="J378" t="str">
        <f t="shared" si="30"/>
        <v>Short</v>
      </c>
      <c r="K378" t="str" cm="1">
        <f t="array" ref="K378">_xlfn.IFS(E378&lt;4, "Poor", E378&lt;7, "Average", E378&lt;9, "Good", TRUE, "Excellent")</f>
        <v>Poor</v>
      </c>
      <c r="L378" t="str">
        <f t="shared" si="31"/>
        <v>M1376 - Movie_376</v>
      </c>
      <c r="M378" t="str">
        <f t="shared" si="32"/>
        <v>Jap</v>
      </c>
      <c r="N378" t="str">
        <f t="shared" si="33"/>
        <v>90</v>
      </c>
      <c r="O378">
        <f t="shared" si="34"/>
        <v>9</v>
      </c>
      <c r="P378" t="str">
        <f t="shared" si="35"/>
        <v>Horror</v>
      </c>
    </row>
    <row r="379" spans="1:16">
      <c r="A379" t="s">
        <v>788</v>
      </c>
      <c r="B379" t="s">
        <v>789</v>
      </c>
      <c r="C379" t="s">
        <v>34</v>
      </c>
      <c r="D379">
        <v>113</v>
      </c>
      <c r="E379">
        <v>7.1</v>
      </c>
      <c r="F379" t="s">
        <v>61</v>
      </c>
      <c r="G379">
        <v>2005</v>
      </c>
      <c r="H379" t="s">
        <v>25</v>
      </c>
      <c r="I379" s="2">
        <v>44517</v>
      </c>
      <c r="J379" t="str">
        <f t="shared" si="30"/>
        <v>Short</v>
      </c>
      <c r="K379" t="str" cm="1">
        <f t="array" ref="K379">_xlfn.IFS(E379&lt;4, "Poor", E379&lt;7, "Average", E379&lt;9, "Good", TRUE, "Excellent")</f>
        <v>Good</v>
      </c>
      <c r="L379" t="str">
        <f t="shared" si="31"/>
        <v>M1377 - Movie_377</v>
      </c>
      <c r="M379" t="str">
        <f t="shared" si="32"/>
        <v>Ger</v>
      </c>
      <c r="N379" t="str">
        <f t="shared" si="33"/>
        <v>05</v>
      </c>
      <c r="O379">
        <f t="shared" si="34"/>
        <v>9</v>
      </c>
      <c r="P379" t="str">
        <f t="shared" si="35"/>
        <v>Drama</v>
      </c>
    </row>
    <row r="380" spans="1:16">
      <c r="A380" t="s">
        <v>790</v>
      </c>
      <c r="B380" t="s">
        <v>791</v>
      </c>
      <c r="C380" t="s">
        <v>40</v>
      </c>
      <c r="D380">
        <v>114</v>
      </c>
      <c r="E380">
        <v>5.4</v>
      </c>
      <c r="F380" t="s">
        <v>35</v>
      </c>
      <c r="G380">
        <v>2023</v>
      </c>
      <c r="H380" t="s">
        <v>25</v>
      </c>
      <c r="I380" s="2">
        <v>45483</v>
      </c>
      <c r="J380" t="str">
        <f t="shared" si="30"/>
        <v>Short</v>
      </c>
      <c r="K380" t="str" cm="1">
        <f t="array" ref="K380">_xlfn.IFS(E380&lt;4, "Poor", E380&lt;7, "Average", E380&lt;9, "Good", TRUE, "Excellent")</f>
        <v>Average</v>
      </c>
      <c r="L380" t="str">
        <f t="shared" si="31"/>
        <v>M1378 - Movie_378</v>
      </c>
      <c r="M380" t="str">
        <f t="shared" si="32"/>
        <v>Eng</v>
      </c>
      <c r="N380" t="str">
        <f t="shared" si="33"/>
        <v>23</v>
      </c>
      <c r="O380">
        <f t="shared" si="34"/>
        <v>9</v>
      </c>
      <c r="P380" t="str">
        <f t="shared" si="35"/>
        <v>Comedy</v>
      </c>
    </row>
    <row r="381" spans="1:16">
      <c r="A381" t="s">
        <v>792</v>
      </c>
      <c r="B381" t="s">
        <v>793</v>
      </c>
      <c r="C381" t="s">
        <v>34</v>
      </c>
      <c r="D381">
        <v>127</v>
      </c>
      <c r="E381">
        <v>7</v>
      </c>
      <c r="F381" t="s">
        <v>19</v>
      </c>
      <c r="G381">
        <v>2012</v>
      </c>
      <c r="H381" t="s">
        <v>25</v>
      </c>
      <c r="I381" s="2">
        <v>44710</v>
      </c>
      <c r="J381" t="str">
        <f t="shared" si="30"/>
        <v>Long</v>
      </c>
      <c r="K381" t="str" cm="1">
        <f t="array" ref="K381">_xlfn.IFS(E381&lt;4, "Poor", E381&lt;7, "Average", E381&lt;9, "Good", TRUE, "Excellent")</f>
        <v>Good</v>
      </c>
      <c r="L381" t="str">
        <f t="shared" si="31"/>
        <v>M1379 - Movie_379</v>
      </c>
      <c r="M381" t="str">
        <f t="shared" si="32"/>
        <v>Jap</v>
      </c>
      <c r="N381" t="str">
        <f t="shared" si="33"/>
        <v>12</v>
      </c>
      <c r="O381">
        <f t="shared" si="34"/>
        <v>9</v>
      </c>
      <c r="P381" t="str">
        <f t="shared" si="35"/>
        <v>Drama</v>
      </c>
    </row>
    <row r="382" spans="1:16">
      <c r="A382" t="s">
        <v>794</v>
      </c>
      <c r="B382" t="s">
        <v>795</v>
      </c>
      <c r="C382" t="s">
        <v>67</v>
      </c>
      <c r="D382">
        <v>80</v>
      </c>
      <c r="E382">
        <v>1.4</v>
      </c>
      <c r="F382" t="s">
        <v>31</v>
      </c>
      <c r="G382">
        <v>2025</v>
      </c>
      <c r="H382" t="s">
        <v>25</v>
      </c>
      <c r="I382" s="2">
        <v>44388</v>
      </c>
      <c r="J382" t="str">
        <f t="shared" si="30"/>
        <v>Short</v>
      </c>
      <c r="K382" t="str" cm="1">
        <f t="array" ref="K382">_xlfn.IFS(E382&lt;4, "Poor", E382&lt;7, "Average", E382&lt;9, "Good", TRUE, "Excellent")</f>
        <v>Poor</v>
      </c>
      <c r="L382" t="str">
        <f t="shared" si="31"/>
        <v>M1380 - Movie_380</v>
      </c>
      <c r="M382" t="str">
        <f t="shared" si="32"/>
        <v>Fre</v>
      </c>
      <c r="N382" t="str">
        <f t="shared" si="33"/>
        <v>25</v>
      </c>
      <c r="O382">
        <f t="shared" si="34"/>
        <v>9</v>
      </c>
      <c r="P382" t="str">
        <f t="shared" si="35"/>
        <v>Thriller</v>
      </c>
    </row>
    <row r="383" spans="1:16">
      <c r="A383" t="s">
        <v>796</v>
      </c>
      <c r="B383" t="s">
        <v>797</v>
      </c>
      <c r="C383" t="s">
        <v>40</v>
      </c>
      <c r="D383">
        <v>100</v>
      </c>
      <c r="E383">
        <v>4.5999999999999996</v>
      </c>
      <c r="F383" t="s">
        <v>19</v>
      </c>
      <c r="G383">
        <v>1999</v>
      </c>
      <c r="H383" t="s">
        <v>20</v>
      </c>
      <c r="I383" s="2">
        <v>44903</v>
      </c>
      <c r="J383" t="str">
        <f t="shared" si="30"/>
        <v>Short</v>
      </c>
      <c r="K383" t="str" cm="1">
        <f t="array" ref="K383">_xlfn.IFS(E383&lt;4, "Poor", E383&lt;7, "Average", E383&lt;9, "Good", TRUE, "Excellent")</f>
        <v>Average</v>
      </c>
      <c r="L383" t="str">
        <f t="shared" si="31"/>
        <v>M1381 - Movie_381</v>
      </c>
      <c r="M383" t="str">
        <f t="shared" si="32"/>
        <v>Jap</v>
      </c>
      <c r="N383" t="str">
        <f t="shared" si="33"/>
        <v>99</v>
      </c>
      <c r="O383">
        <f t="shared" si="34"/>
        <v>9</v>
      </c>
      <c r="P383" t="str">
        <f t="shared" si="35"/>
        <v>Comedy</v>
      </c>
    </row>
    <row r="384" spans="1:16">
      <c r="A384" t="s">
        <v>798</v>
      </c>
      <c r="B384" t="s">
        <v>799</v>
      </c>
      <c r="C384" t="s">
        <v>18</v>
      </c>
      <c r="D384">
        <v>121</v>
      </c>
      <c r="E384">
        <v>6.4</v>
      </c>
      <c r="F384" t="s">
        <v>31</v>
      </c>
      <c r="G384">
        <v>2024</v>
      </c>
      <c r="H384" t="s">
        <v>25</v>
      </c>
      <c r="I384" s="2">
        <v>43961</v>
      </c>
      <c r="J384" t="str">
        <f t="shared" si="30"/>
        <v>Long</v>
      </c>
      <c r="K384" t="str" cm="1">
        <f t="array" ref="K384">_xlfn.IFS(E384&lt;4, "Poor", E384&lt;7, "Average", E384&lt;9, "Good", TRUE, "Excellent")</f>
        <v>Average</v>
      </c>
      <c r="L384" t="str">
        <f t="shared" si="31"/>
        <v>M1382 - Movie_382</v>
      </c>
      <c r="M384" t="str">
        <f t="shared" si="32"/>
        <v>Fre</v>
      </c>
      <c r="N384" t="str">
        <f t="shared" si="33"/>
        <v>24</v>
      </c>
      <c r="O384">
        <f t="shared" si="34"/>
        <v>9</v>
      </c>
      <c r="P384" t="str">
        <f t="shared" si="35"/>
        <v>Horror</v>
      </c>
    </row>
    <row r="385" spans="1:16">
      <c r="A385" t="s">
        <v>800</v>
      </c>
      <c r="B385" t="s">
        <v>801</v>
      </c>
      <c r="C385" t="s">
        <v>18</v>
      </c>
      <c r="D385">
        <v>104</v>
      </c>
      <c r="E385">
        <v>1.1000000000000001</v>
      </c>
      <c r="F385" t="s">
        <v>19</v>
      </c>
      <c r="G385">
        <v>1987</v>
      </c>
      <c r="H385" t="s">
        <v>25</v>
      </c>
      <c r="I385" s="2">
        <v>44369</v>
      </c>
      <c r="J385" t="str">
        <f t="shared" si="30"/>
        <v>Short</v>
      </c>
      <c r="K385" t="str" cm="1">
        <f t="array" ref="K385">_xlfn.IFS(E385&lt;4, "Poor", E385&lt;7, "Average", E385&lt;9, "Good", TRUE, "Excellent")</f>
        <v>Poor</v>
      </c>
      <c r="L385" t="str">
        <f t="shared" si="31"/>
        <v>M1383 - Movie_383</v>
      </c>
      <c r="M385" t="str">
        <f t="shared" si="32"/>
        <v>Jap</v>
      </c>
      <c r="N385" t="str">
        <f t="shared" si="33"/>
        <v>87</v>
      </c>
      <c r="O385">
        <f t="shared" si="34"/>
        <v>9</v>
      </c>
      <c r="P385" t="str">
        <f t="shared" si="35"/>
        <v>Horror</v>
      </c>
    </row>
    <row r="386" spans="1:16">
      <c r="A386" t="s">
        <v>802</v>
      </c>
      <c r="B386" t="s">
        <v>803</v>
      </c>
      <c r="C386" t="s">
        <v>34</v>
      </c>
      <c r="D386">
        <v>79</v>
      </c>
      <c r="E386">
        <v>3.7</v>
      </c>
      <c r="F386" t="s">
        <v>35</v>
      </c>
      <c r="G386">
        <v>2020</v>
      </c>
      <c r="H386" t="s">
        <v>25</v>
      </c>
      <c r="I386" s="2">
        <v>45289</v>
      </c>
      <c r="J386" t="str">
        <f t="shared" si="30"/>
        <v>Short</v>
      </c>
      <c r="K386" t="str" cm="1">
        <f t="array" ref="K386">_xlfn.IFS(E386&lt;4, "Poor", E386&lt;7, "Average", E386&lt;9, "Good", TRUE, "Excellent")</f>
        <v>Poor</v>
      </c>
      <c r="L386" t="str">
        <f t="shared" si="31"/>
        <v>M1384 - Movie_384</v>
      </c>
      <c r="M386" t="str">
        <f t="shared" si="32"/>
        <v>Eng</v>
      </c>
      <c r="N386" t="str">
        <f t="shared" si="33"/>
        <v>20</v>
      </c>
      <c r="O386">
        <f t="shared" si="34"/>
        <v>9</v>
      </c>
      <c r="P386" t="str">
        <f t="shared" si="35"/>
        <v>Drama</v>
      </c>
    </row>
    <row r="387" spans="1:16">
      <c r="A387" t="s">
        <v>804</v>
      </c>
      <c r="B387" t="s">
        <v>805</v>
      </c>
      <c r="C387" t="s">
        <v>67</v>
      </c>
      <c r="D387">
        <v>100</v>
      </c>
      <c r="E387">
        <v>2.9</v>
      </c>
      <c r="F387" t="s">
        <v>24</v>
      </c>
      <c r="G387">
        <v>1998</v>
      </c>
      <c r="H387" t="s">
        <v>20</v>
      </c>
      <c r="I387" s="2">
        <v>45011</v>
      </c>
      <c r="J387" t="str">
        <f t="shared" ref="J387:J450" si="36">IF(D387&gt;120, "Long", "Short")</f>
        <v>Short</v>
      </c>
      <c r="K387" t="str" cm="1">
        <f t="array" ref="K387">_xlfn.IFS(E387&lt;4, "Poor", E387&lt;7, "Average", E387&lt;9, "Good", TRUE, "Excellent")</f>
        <v>Poor</v>
      </c>
      <c r="L387" t="str">
        <f t="shared" ref="L387:L450" si="37">_xlfn.CONCAT(A387, " - ", B387)</f>
        <v>M1385 - Movie_385</v>
      </c>
      <c r="M387" t="str">
        <f t="shared" ref="M387:M450" si="38">LEFT(F387,3)</f>
        <v>Hin</v>
      </c>
      <c r="N387" t="str">
        <f t="shared" ref="N387:N450" si="39">RIGHT(G387,2)</f>
        <v>98</v>
      </c>
      <c r="O387">
        <f t="shared" ref="O387:O450" si="40">LEN(B387)</f>
        <v>9</v>
      </c>
      <c r="P387" t="str">
        <f t="shared" ref="P387:P450" si="41">TRIM(C387)</f>
        <v>Thriller</v>
      </c>
    </row>
    <row r="388" spans="1:16">
      <c r="A388" t="s">
        <v>806</v>
      </c>
      <c r="B388" t="s">
        <v>807</v>
      </c>
      <c r="C388" t="s">
        <v>34</v>
      </c>
      <c r="D388">
        <v>60</v>
      </c>
      <c r="E388">
        <v>2.2000000000000002</v>
      </c>
      <c r="F388" t="s">
        <v>24</v>
      </c>
      <c r="G388">
        <v>2003</v>
      </c>
      <c r="H388" t="s">
        <v>25</v>
      </c>
      <c r="I388" s="2">
        <v>45116</v>
      </c>
      <c r="J388" t="str">
        <f t="shared" si="36"/>
        <v>Short</v>
      </c>
      <c r="K388" t="str" cm="1">
        <f t="array" ref="K388">_xlfn.IFS(E388&lt;4, "Poor", E388&lt;7, "Average", E388&lt;9, "Good", TRUE, "Excellent")</f>
        <v>Poor</v>
      </c>
      <c r="L388" t="str">
        <f t="shared" si="37"/>
        <v>M1386 - Movie_386</v>
      </c>
      <c r="M388" t="str">
        <f t="shared" si="38"/>
        <v>Hin</v>
      </c>
      <c r="N388" t="str">
        <f t="shared" si="39"/>
        <v>03</v>
      </c>
      <c r="O388">
        <f t="shared" si="40"/>
        <v>9</v>
      </c>
      <c r="P388" t="str">
        <f t="shared" si="41"/>
        <v>Drama</v>
      </c>
    </row>
    <row r="389" spans="1:16">
      <c r="A389" t="s">
        <v>808</v>
      </c>
      <c r="B389" t="s">
        <v>809</v>
      </c>
      <c r="C389" t="s">
        <v>23</v>
      </c>
      <c r="D389">
        <v>164</v>
      </c>
      <c r="E389">
        <v>3.3</v>
      </c>
      <c r="F389" t="s">
        <v>31</v>
      </c>
      <c r="G389">
        <v>2019</v>
      </c>
      <c r="H389" t="s">
        <v>25</v>
      </c>
      <c r="I389" s="2">
        <v>43988</v>
      </c>
      <c r="J389" t="str">
        <f t="shared" si="36"/>
        <v>Long</v>
      </c>
      <c r="K389" t="str" cm="1">
        <f t="array" ref="K389">_xlfn.IFS(E389&lt;4, "Poor", E389&lt;7, "Average", E389&lt;9, "Good", TRUE, "Excellent")</f>
        <v>Poor</v>
      </c>
      <c r="L389" t="str">
        <f t="shared" si="37"/>
        <v>M1387 - Movie_387</v>
      </c>
      <c r="M389" t="str">
        <f t="shared" si="38"/>
        <v>Fre</v>
      </c>
      <c r="N389" t="str">
        <f t="shared" si="39"/>
        <v>19</v>
      </c>
      <c r="O389">
        <f t="shared" si="40"/>
        <v>9</v>
      </c>
      <c r="P389" t="str">
        <f t="shared" si="41"/>
        <v>Action</v>
      </c>
    </row>
    <row r="390" spans="1:16">
      <c r="A390" t="s">
        <v>810</v>
      </c>
      <c r="B390" t="s">
        <v>811</v>
      </c>
      <c r="C390" t="s">
        <v>23</v>
      </c>
      <c r="D390">
        <v>175</v>
      </c>
      <c r="E390">
        <v>4</v>
      </c>
      <c r="F390" t="s">
        <v>31</v>
      </c>
      <c r="G390">
        <v>1994</v>
      </c>
      <c r="H390" t="s">
        <v>25</v>
      </c>
      <c r="I390" s="2">
        <v>44847</v>
      </c>
      <c r="J390" t="str">
        <f t="shared" si="36"/>
        <v>Long</v>
      </c>
      <c r="K390" t="str" cm="1">
        <f t="array" ref="K390">_xlfn.IFS(E390&lt;4, "Poor", E390&lt;7, "Average", E390&lt;9, "Good", TRUE, "Excellent")</f>
        <v>Average</v>
      </c>
      <c r="L390" t="str">
        <f t="shared" si="37"/>
        <v>M1388 - Movie_388</v>
      </c>
      <c r="M390" t="str">
        <f t="shared" si="38"/>
        <v>Fre</v>
      </c>
      <c r="N390" t="str">
        <f t="shared" si="39"/>
        <v>94</v>
      </c>
      <c r="O390">
        <f t="shared" si="40"/>
        <v>9</v>
      </c>
      <c r="P390" t="str">
        <f t="shared" si="41"/>
        <v>Action</v>
      </c>
    </row>
    <row r="391" spans="1:16">
      <c r="A391" t="s">
        <v>812</v>
      </c>
      <c r="B391" t="s">
        <v>813</v>
      </c>
      <c r="C391" t="s">
        <v>67</v>
      </c>
      <c r="D391">
        <v>180</v>
      </c>
      <c r="E391">
        <v>1.1000000000000001</v>
      </c>
      <c r="F391" t="s">
        <v>28</v>
      </c>
      <c r="G391">
        <v>1994</v>
      </c>
      <c r="H391" t="s">
        <v>20</v>
      </c>
      <c r="I391" s="2">
        <v>44763</v>
      </c>
      <c r="J391" t="str">
        <f t="shared" si="36"/>
        <v>Long</v>
      </c>
      <c r="K391" t="str" cm="1">
        <f t="array" ref="K391">_xlfn.IFS(E391&lt;4, "Poor", E391&lt;7, "Average", E391&lt;9, "Good", TRUE, "Excellent")</f>
        <v>Poor</v>
      </c>
      <c r="L391" t="str">
        <f t="shared" si="37"/>
        <v>M1389 - Movie_389</v>
      </c>
      <c r="M391" t="str">
        <f t="shared" si="38"/>
        <v>Spa</v>
      </c>
      <c r="N391" t="str">
        <f t="shared" si="39"/>
        <v>94</v>
      </c>
      <c r="O391">
        <f t="shared" si="40"/>
        <v>9</v>
      </c>
      <c r="P391" t="str">
        <f t="shared" si="41"/>
        <v>Thriller</v>
      </c>
    </row>
    <row r="392" spans="1:16">
      <c r="A392" t="s">
        <v>814</v>
      </c>
      <c r="B392" t="s">
        <v>815</v>
      </c>
      <c r="C392" t="s">
        <v>58</v>
      </c>
      <c r="D392">
        <v>134</v>
      </c>
      <c r="E392">
        <v>7.7</v>
      </c>
      <c r="F392" t="s">
        <v>19</v>
      </c>
      <c r="G392">
        <v>1988</v>
      </c>
      <c r="H392" t="s">
        <v>25</v>
      </c>
      <c r="I392" s="2">
        <v>44877</v>
      </c>
      <c r="J392" t="str">
        <f t="shared" si="36"/>
        <v>Long</v>
      </c>
      <c r="K392" t="str" cm="1">
        <f t="array" ref="K392">_xlfn.IFS(E392&lt;4, "Poor", E392&lt;7, "Average", E392&lt;9, "Good", TRUE, "Excellent")</f>
        <v>Good</v>
      </c>
      <c r="L392" t="str">
        <f t="shared" si="37"/>
        <v>M1390 - Movie_390</v>
      </c>
      <c r="M392" t="str">
        <f t="shared" si="38"/>
        <v>Jap</v>
      </c>
      <c r="N392" t="str">
        <f t="shared" si="39"/>
        <v>88</v>
      </c>
      <c r="O392">
        <f t="shared" si="40"/>
        <v>9</v>
      </c>
      <c r="P392" t="str">
        <f t="shared" si="41"/>
        <v>Sci-Fi</v>
      </c>
    </row>
    <row r="393" spans="1:16">
      <c r="A393" t="s">
        <v>816</v>
      </c>
      <c r="B393" t="s">
        <v>817</v>
      </c>
      <c r="C393" t="s">
        <v>58</v>
      </c>
      <c r="D393">
        <v>68</v>
      </c>
      <c r="E393">
        <v>2.6</v>
      </c>
      <c r="F393" t="s">
        <v>19</v>
      </c>
      <c r="G393">
        <v>2010</v>
      </c>
      <c r="H393" t="s">
        <v>20</v>
      </c>
      <c r="I393" s="2">
        <v>44568</v>
      </c>
      <c r="J393" t="str">
        <f t="shared" si="36"/>
        <v>Short</v>
      </c>
      <c r="K393" t="str" cm="1">
        <f t="array" ref="K393">_xlfn.IFS(E393&lt;4, "Poor", E393&lt;7, "Average", E393&lt;9, "Good", TRUE, "Excellent")</f>
        <v>Poor</v>
      </c>
      <c r="L393" t="str">
        <f t="shared" si="37"/>
        <v>M1391 - Movie_391</v>
      </c>
      <c r="M393" t="str">
        <f t="shared" si="38"/>
        <v>Jap</v>
      </c>
      <c r="N393" t="str">
        <f t="shared" si="39"/>
        <v>10</v>
      </c>
      <c r="O393">
        <f t="shared" si="40"/>
        <v>9</v>
      </c>
      <c r="P393" t="str">
        <f t="shared" si="41"/>
        <v>Sci-Fi</v>
      </c>
    </row>
    <row r="394" spans="1:16">
      <c r="A394" t="s">
        <v>818</v>
      </c>
      <c r="B394" t="s">
        <v>819</v>
      </c>
      <c r="C394" t="s">
        <v>23</v>
      </c>
      <c r="D394">
        <v>119</v>
      </c>
      <c r="E394">
        <v>4.4000000000000004</v>
      </c>
      <c r="F394" t="s">
        <v>19</v>
      </c>
      <c r="G394">
        <v>1989</v>
      </c>
      <c r="H394" t="s">
        <v>20</v>
      </c>
      <c r="I394" s="2">
        <v>43944</v>
      </c>
      <c r="J394" t="str">
        <f t="shared" si="36"/>
        <v>Short</v>
      </c>
      <c r="K394" t="str" cm="1">
        <f t="array" ref="K394">_xlfn.IFS(E394&lt;4, "Poor", E394&lt;7, "Average", E394&lt;9, "Good", TRUE, "Excellent")</f>
        <v>Average</v>
      </c>
      <c r="L394" t="str">
        <f t="shared" si="37"/>
        <v>M1392 - Movie_392</v>
      </c>
      <c r="M394" t="str">
        <f t="shared" si="38"/>
        <v>Jap</v>
      </c>
      <c r="N394" t="str">
        <f t="shared" si="39"/>
        <v>89</v>
      </c>
      <c r="O394">
        <f t="shared" si="40"/>
        <v>9</v>
      </c>
      <c r="P394" t="str">
        <f t="shared" si="41"/>
        <v>Action</v>
      </c>
    </row>
    <row r="395" spans="1:16">
      <c r="A395" t="s">
        <v>820</v>
      </c>
      <c r="B395" t="s">
        <v>821</v>
      </c>
      <c r="C395" t="s">
        <v>23</v>
      </c>
      <c r="D395">
        <v>133</v>
      </c>
      <c r="E395">
        <v>7.3</v>
      </c>
      <c r="F395" t="s">
        <v>19</v>
      </c>
      <c r="G395">
        <v>2009</v>
      </c>
      <c r="H395" t="s">
        <v>20</v>
      </c>
      <c r="I395" s="2">
        <v>44854</v>
      </c>
      <c r="J395" t="str">
        <f t="shared" si="36"/>
        <v>Long</v>
      </c>
      <c r="K395" t="str" cm="1">
        <f t="array" ref="K395">_xlfn.IFS(E395&lt;4, "Poor", E395&lt;7, "Average", E395&lt;9, "Good", TRUE, "Excellent")</f>
        <v>Good</v>
      </c>
      <c r="L395" t="str">
        <f t="shared" si="37"/>
        <v>M1393 - Movie_393</v>
      </c>
      <c r="M395" t="str">
        <f t="shared" si="38"/>
        <v>Jap</v>
      </c>
      <c r="N395" t="str">
        <f t="shared" si="39"/>
        <v>09</v>
      </c>
      <c r="O395">
        <f t="shared" si="40"/>
        <v>9</v>
      </c>
      <c r="P395" t="str">
        <f t="shared" si="41"/>
        <v>Action</v>
      </c>
    </row>
    <row r="396" spans="1:16">
      <c r="A396" t="s">
        <v>822</v>
      </c>
      <c r="B396" t="s">
        <v>823</v>
      </c>
      <c r="C396" t="s">
        <v>58</v>
      </c>
      <c r="D396">
        <v>132</v>
      </c>
      <c r="E396">
        <v>5.5</v>
      </c>
      <c r="F396" t="s">
        <v>28</v>
      </c>
      <c r="G396">
        <v>2018</v>
      </c>
      <c r="H396" t="s">
        <v>25</v>
      </c>
      <c r="I396" s="2">
        <v>44991</v>
      </c>
      <c r="J396" t="str">
        <f t="shared" si="36"/>
        <v>Long</v>
      </c>
      <c r="K396" t="str" cm="1">
        <f t="array" ref="K396">_xlfn.IFS(E396&lt;4, "Poor", E396&lt;7, "Average", E396&lt;9, "Good", TRUE, "Excellent")</f>
        <v>Average</v>
      </c>
      <c r="L396" t="str">
        <f t="shared" si="37"/>
        <v>M1394 - Movie_394</v>
      </c>
      <c r="M396" t="str">
        <f t="shared" si="38"/>
        <v>Spa</v>
      </c>
      <c r="N396" t="str">
        <f t="shared" si="39"/>
        <v>18</v>
      </c>
      <c r="O396">
        <f t="shared" si="40"/>
        <v>9</v>
      </c>
      <c r="P396" t="str">
        <f t="shared" si="41"/>
        <v>Sci-Fi</v>
      </c>
    </row>
    <row r="397" spans="1:16">
      <c r="A397" t="s">
        <v>824</v>
      </c>
      <c r="B397" t="s">
        <v>825</v>
      </c>
      <c r="C397" t="s">
        <v>40</v>
      </c>
      <c r="D397">
        <v>176</v>
      </c>
      <c r="E397">
        <v>8.5</v>
      </c>
      <c r="F397" t="s">
        <v>31</v>
      </c>
      <c r="G397">
        <v>2003</v>
      </c>
      <c r="H397" t="s">
        <v>20</v>
      </c>
      <c r="I397" s="2">
        <v>44172</v>
      </c>
      <c r="J397" t="str">
        <f t="shared" si="36"/>
        <v>Long</v>
      </c>
      <c r="K397" t="str" cm="1">
        <f t="array" ref="K397">_xlfn.IFS(E397&lt;4, "Poor", E397&lt;7, "Average", E397&lt;9, "Good", TRUE, "Excellent")</f>
        <v>Good</v>
      </c>
      <c r="L397" t="str">
        <f t="shared" si="37"/>
        <v>M1395 - Movie_395</v>
      </c>
      <c r="M397" t="str">
        <f t="shared" si="38"/>
        <v>Fre</v>
      </c>
      <c r="N397" t="str">
        <f t="shared" si="39"/>
        <v>03</v>
      </c>
      <c r="O397">
        <f t="shared" si="40"/>
        <v>9</v>
      </c>
      <c r="P397" t="str">
        <f t="shared" si="41"/>
        <v>Comedy</v>
      </c>
    </row>
    <row r="398" spans="1:16">
      <c r="A398" t="s">
        <v>826</v>
      </c>
      <c r="B398" t="s">
        <v>827</v>
      </c>
      <c r="C398" t="s">
        <v>58</v>
      </c>
      <c r="D398">
        <v>78</v>
      </c>
      <c r="E398">
        <v>8.3000000000000007</v>
      </c>
      <c r="F398" t="s">
        <v>24</v>
      </c>
      <c r="G398">
        <v>2006</v>
      </c>
      <c r="H398" t="s">
        <v>20</v>
      </c>
      <c r="I398" s="2">
        <v>44584</v>
      </c>
      <c r="J398" t="str">
        <f t="shared" si="36"/>
        <v>Short</v>
      </c>
      <c r="K398" t="str" cm="1">
        <f t="array" ref="K398">_xlfn.IFS(E398&lt;4, "Poor", E398&lt;7, "Average", E398&lt;9, "Good", TRUE, "Excellent")</f>
        <v>Good</v>
      </c>
      <c r="L398" t="str">
        <f t="shared" si="37"/>
        <v>M1396 - Movie_396</v>
      </c>
      <c r="M398" t="str">
        <f t="shared" si="38"/>
        <v>Hin</v>
      </c>
      <c r="N398" t="str">
        <f t="shared" si="39"/>
        <v>06</v>
      </c>
      <c r="O398">
        <f t="shared" si="40"/>
        <v>9</v>
      </c>
      <c r="P398" t="str">
        <f t="shared" si="41"/>
        <v>Sci-Fi</v>
      </c>
    </row>
    <row r="399" spans="1:16">
      <c r="A399" t="s">
        <v>828</v>
      </c>
      <c r="B399" t="s">
        <v>829</v>
      </c>
      <c r="C399" t="s">
        <v>34</v>
      </c>
      <c r="D399">
        <v>119</v>
      </c>
      <c r="E399">
        <v>1.6</v>
      </c>
      <c r="F399" t="s">
        <v>28</v>
      </c>
      <c r="G399">
        <v>2024</v>
      </c>
      <c r="H399" t="s">
        <v>20</v>
      </c>
      <c r="I399" s="2">
        <v>44153</v>
      </c>
      <c r="J399" t="str">
        <f t="shared" si="36"/>
        <v>Short</v>
      </c>
      <c r="K399" t="str" cm="1">
        <f t="array" ref="K399">_xlfn.IFS(E399&lt;4, "Poor", E399&lt;7, "Average", E399&lt;9, "Good", TRUE, "Excellent")</f>
        <v>Poor</v>
      </c>
      <c r="L399" t="str">
        <f t="shared" si="37"/>
        <v>M1397 - Movie_397</v>
      </c>
      <c r="M399" t="str">
        <f t="shared" si="38"/>
        <v>Spa</v>
      </c>
      <c r="N399" t="str">
        <f t="shared" si="39"/>
        <v>24</v>
      </c>
      <c r="O399">
        <f t="shared" si="40"/>
        <v>9</v>
      </c>
      <c r="P399" t="str">
        <f t="shared" si="41"/>
        <v>Drama</v>
      </c>
    </row>
    <row r="400" spans="1:16">
      <c r="A400" t="s">
        <v>830</v>
      </c>
      <c r="B400" t="s">
        <v>831</v>
      </c>
      <c r="C400" t="s">
        <v>40</v>
      </c>
      <c r="D400">
        <v>127</v>
      </c>
      <c r="E400">
        <v>8.8000000000000007</v>
      </c>
      <c r="F400" t="s">
        <v>35</v>
      </c>
      <c r="G400">
        <v>2015</v>
      </c>
      <c r="H400" t="s">
        <v>20</v>
      </c>
      <c r="I400" s="2">
        <v>44353</v>
      </c>
      <c r="J400" t="str">
        <f t="shared" si="36"/>
        <v>Long</v>
      </c>
      <c r="K400" t="str" cm="1">
        <f t="array" ref="K400">_xlfn.IFS(E400&lt;4, "Poor", E400&lt;7, "Average", E400&lt;9, "Good", TRUE, "Excellent")</f>
        <v>Good</v>
      </c>
      <c r="L400" t="str">
        <f t="shared" si="37"/>
        <v>M1398 - Movie_398</v>
      </c>
      <c r="M400" t="str">
        <f t="shared" si="38"/>
        <v>Eng</v>
      </c>
      <c r="N400" t="str">
        <f t="shared" si="39"/>
        <v>15</v>
      </c>
      <c r="O400">
        <f t="shared" si="40"/>
        <v>9</v>
      </c>
      <c r="P400" t="str">
        <f t="shared" si="41"/>
        <v>Comedy</v>
      </c>
    </row>
    <row r="401" spans="1:16">
      <c r="A401" t="s">
        <v>832</v>
      </c>
      <c r="B401" t="s">
        <v>833</v>
      </c>
      <c r="C401" t="s">
        <v>34</v>
      </c>
      <c r="D401">
        <v>110</v>
      </c>
      <c r="E401">
        <v>1.4</v>
      </c>
      <c r="F401" t="s">
        <v>28</v>
      </c>
      <c r="G401">
        <v>2010</v>
      </c>
      <c r="H401" t="s">
        <v>20</v>
      </c>
      <c r="I401" s="2">
        <v>45414</v>
      </c>
      <c r="J401" t="str">
        <f t="shared" si="36"/>
        <v>Short</v>
      </c>
      <c r="K401" t="str" cm="1">
        <f t="array" ref="K401">_xlfn.IFS(E401&lt;4, "Poor", E401&lt;7, "Average", E401&lt;9, "Good", TRUE, "Excellent")</f>
        <v>Poor</v>
      </c>
      <c r="L401" t="str">
        <f t="shared" si="37"/>
        <v>M1399 - Movie_399</v>
      </c>
      <c r="M401" t="str">
        <f t="shared" si="38"/>
        <v>Spa</v>
      </c>
      <c r="N401" t="str">
        <f t="shared" si="39"/>
        <v>10</v>
      </c>
      <c r="O401">
        <f t="shared" si="40"/>
        <v>9</v>
      </c>
      <c r="P401" t="str">
        <f t="shared" si="41"/>
        <v>Drama</v>
      </c>
    </row>
    <row r="402" spans="1:16">
      <c r="A402" t="s">
        <v>834</v>
      </c>
      <c r="B402" t="s">
        <v>835</v>
      </c>
      <c r="C402" t="s">
        <v>23</v>
      </c>
      <c r="D402">
        <v>168</v>
      </c>
      <c r="E402">
        <v>1.2</v>
      </c>
      <c r="F402" t="s">
        <v>28</v>
      </c>
      <c r="G402">
        <v>2014</v>
      </c>
      <c r="H402" t="s">
        <v>25</v>
      </c>
      <c r="I402" s="2">
        <v>44041</v>
      </c>
      <c r="J402" t="str">
        <f t="shared" si="36"/>
        <v>Long</v>
      </c>
      <c r="K402" t="str" cm="1">
        <f t="array" ref="K402">_xlfn.IFS(E402&lt;4, "Poor", E402&lt;7, "Average", E402&lt;9, "Good", TRUE, "Excellent")</f>
        <v>Poor</v>
      </c>
      <c r="L402" t="str">
        <f t="shared" si="37"/>
        <v>M1400 - Movie_400</v>
      </c>
      <c r="M402" t="str">
        <f t="shared" si="38"/>
        <v>Spa</v>
      </c>
      <c r="N402" t="str">
        <f t="shared" si="39"/>
        <v>14</v>
      </c>
      <c r="O402">
        <f t="shared" si="40"/>
        <v>9</v>
      </c>
      <c r="P402" t="str">
        <f t="shared" si="41"/>
        <v>Action</v>
      </c>
    </row>
    <row r="403" spans="1:16">
      <c r="A403" t="s">
        <v>836</v>
      </c>
      <c r="B403" t="s">
        <v>837</v>
      </c>
      <c r="C403" t="s">
        <v>40</v>
      </c>
      <c r="D403">
        <v>89</v>
      </c>
      <c r="E403">
        <v>9.3000000000000007</v>
      </c>
      <c r="F403" t="s">
        <v>28</v>
      </c>
      <c r="G403">
        <v>2022</v>
      </c>
      <c r="H403" t="s">
        <v>25</v>
      </c>
      <c r="I403" s="2">
        <v>45006</v>
      </c>
      <c r="J403" t="str">
        <f t="shared" si="36"/>
        <v>Short</v>
      </c>
      <c r="K403" t="str" cm="1">
        <f t="array" ref="K403">_xlfn.IFS(E403&lt;4, "Poor", E403&lt;7, "Average", E403&lt;9, "Good", TRUE, "Excellent")</f>
        <v>Excellent</v>
      </c>
      <c r="L403" t="str">
        <f t="shared" si="37"/>
        <v>M1401 - Movie_401</v>
      </c>
      <c r="M403" t="str">
        <f t="shared" si="38"/>
        <v>Spa</v>
      </c>
      <c r="N403" t="str">
        <f t="shared" si="39"/>
        <v>22</v>
      </c>
      <c r="O403">
        <f t="shared" si="40"/>
        <v>9</v>
      </c>
      <c r="P403" t="str">
        <f t="shared" si="41"/>
        <v>Comedy</v>
      </c>
    </row>
    <row r="404" spans="1:16">
      <c r="A404" t="s">
        <v>838</v>
      </c>
      <c r="B404" t="s">
        <v>839</v>
      </c>
      <c r="C404" t="s">
        <v>34</v>
      </c>
      <c r="D404">
        <v>199</v>
      </c>
      <c r="E404">
        <v>8.8000000000000007</v>
      </c>
      <c r="F404" t="s">
        <v>61</v>
      </c>
      <c r="G404">
        <v>1993</v>
      </c>
      <c r="H404" t="s">
        <v>25</v>
      </c>
      <c r="I404" s="2">
        <v>45211</v>
      </c>
      <c r="J404" t="str">
        <f t="shared" si="36"/>
        <v>Long</v>
      </c>
      <c r="K404" t="str" cm="1">
        <f t="array" ref="K404">_xlfn.IFS(E404&lt;4, "Poor", E404&lt;7, "Average", E404&lt;9, "Good", TRUE, "Excellent")</f>
        <v>Good</v>
      </c>
      <c r="L404" t="str">
        <f t="shared" si="37"/>
        <v>M1402 - Movie_402</v>
      </c>
      <c r="M404" t="str">
        <f t="shared" si="38"/>
        <v>Ger</v>
      </c>
      <c r="N404" t="str">
        <f t="shared" si="39"/>
        <v>93</v>
      </c>
      <c r="O404">
        <f t="shared" si="40"/>
        <v>9</v>
      </c>
      <c r="P404" t="str">
        <f t="shared" si="41"/>
        <v>Drama</v>
      </c>
    </row>
    <row r="405" spans="1:16">
      <c r="A405" t="s">
        <v>840</v>
      </c>
      <c r="B405" t="s">
        <v>841</v>
      </c>
      <c r="C405" t="s">
        <v>34</v>
      </c>
      <c r="D405">
        <v>117</v>
      </c>
      <c r="E405">
        <v>6.2</v>
      </c>
      <c r="F405" t="s">
        <v>35</v>
      </c>
      <c r="G405">
        <v>1995</v>
      </c>
      <c r="H405" t="s">
        <v>20</v>
      </c>
      <c r="I405" s="2">
        <v>45311</v>
      </c>
      <c r="J405" t="str">
        <f t="shared" si="36"/>
        <v>Short</v>
      </c>
      <c r="K405" t="str" cm="1">
        <f t="array" ref="K405">_xlfn.IFS(E405&lt;4, "Poor", E405&lt;7, "Average", E405&lt;9, "Good", TRUE, "Excellent")</f>
        <v>Average</v>
      </c>
      <c r="L405" t="str">
        <f t="shared" si="37"/>
        <v>M1403 - Movie_403</v>
      </c>
      <c r="M405" t="str">
        <f t="shared" si="38"/>
        <v>Eng</v>
      </c>
      <c r="N405" t="str">
        <f t="shared" si="39"/>
        <v>95</v>
      </c>
      <c r="O405">
        <f t="shared" si="40"/>
        <v>9</v>
      </c>
      <c r="P405" t="str">
        <f t="shared" si="41"/>
        <v>Drama</v>
      </c>
    </row>
    <row r="406" spans="1:16">
      <c r="A406" t="s">
        <v>842</v>
      </c>
      <c r="B406" t="s">
        <v>843</v>
      </c>
      <c r="C406" t="s">
        <v>40</v>
      </c>
      <c r="D406">
        <v>98</v>
      </c>
      <c r="E406">
        <v>6.2</v>
      </c>
      <c r="F406" t="s">
        <v>31</v>
      </c>
      <c r="G406">
        <v>2023</v>
      </c>
      <c r="H406" t="s">
        <v>25</v>
      </c>
      <c r="I406" s="2">
        <v>44067</v>
      </c>
      <c r="J406" t="str">
        <f t="shared" si="36"/>
        <v>Short</v>
      </c>
      <c r="K406" t="str" cm="1">
        <f t="array" ref="K406">_xlfn.IFS(E406&lt;4, "Poor", E406&lt;7, "Average", E406&lt;9, "Good", TRUE, "Excellent")</f>
        <v>Average</v>
      </c>
      <c r="L406" t="str">
        <f t="shared" si="37"/>
        <v>M1404 - Movie_404</v>
      </c>
      <c r="M406" t="str">
        <f t="shared" si="38"/>
        <v>Fre</v>
      </c>
      <c r="N406" t="str">
        <f t="shared" si="39"/>
        <v>23</v>
      </c>
      <c r="O406">
        <f t="shared" si="40"/>
        <v>9</v>
      </c>
      <c r="P406" t="str">
        <f t="shared" si="41"/>
        <v>Comedy</v>
      </c>
    </row>
    <row r="407" spans="1:16">
      <c r="A407" t="s">
        <v>844</v>
      </c>
      <c r="B407" t="s">
        <v>845</v>
      </c>
      <c r="C407" t="s">
        <v>67</v>
      </c>
      <c r="D407">
        <v>128</v>
      </c>
      <c r="E407">
        <v>7.4</v>
      </c>
      <c r="F407" t="s">
        <v>24</v>
      </c>
      <c r="G407">
        <v>2018</v>
      </c>
      <c r="H407" t="s">
        <v>20</v>
      </c>
      <c r="I407" s="2">
        <v>44298</v>
      </c>
      <c r="J407" t="str">
        <f t="shared" si="36"/>
        <v>Long</v>
      </c>
      <c r="K407" t="str" cm="1">
        <f t="array" ref="K407">_xlfn.IFS(E407&lt;4, "Poor", E407&lt;7, "Average", E407&lt;9, "Good", TRUE, "Excellent")</f>
        <v>Good</v>
      </c>
      <c r="L407" t="str">
        <f t="shared" si="37"/>
        <v>M1405 - Movie_405</v>
      </c>
      <c r="M407" t="str">
        <f t="shared" si="38"/>
        <v>Hin</v>
      </c>
      <c r="N407" t="str">
        <f t="shared" si="39"/>
        <v>18</v>
      </c>
      <c r="O407">
        <f t="shared" si="40"/>
        <v>9</v>
      </c>
      <c r="P407" t="str">
        <f t="shared" si="41"/>
        <v>Thriller</v>
      </c>
    </row>
    <row r="408" spans="1:16">
      <c r="A408" t="s">
        <v>846</v>
      </c>
      <c r="B408" t="s">
        <v>847</v>
      </c>
      <c r="C408" t="s">
        <v>58</v>
      </c>
      <c r="D408">
        <v>96</v>
      </c>
      <c r="E408">
        <v>4.8</v>
      </c>
      <c r="F408" t="s">
        <v>24</v>
      </c>
      <c r="G408">
        <v>1985</v>
      </c>
      <c r="H408" t="s">
        <v>20</v>
      </c>
      <c r="I408" s="2">
        <v>45348</v>
      </c>
      <c r="J408" t="str">
        <f t="shared" si="36"/>
        <v>Short</v>
      </c>
      <c r="K408" t="str" cm="1">
        <f t="array" ref="K408">_xlfn.IFS(E408&lt;4, "Poor", E408&lt;7, "Average", E408&lt;9, "Good", TRUE, "Excellent")</f>
        <v>Average</v>
      </c>
      <c r="L408" t="str">
        <f t="shared" si="37"/>
        <v>M1406 - Movie_406</v>
      </c>
      <c r="M408" t="str">
        <f t="shared" si="38"/>
        <v>Hin</v>
      </c>
      <c r="N408" t="str">
        <f t="shared" si="39"/>
        <v>85</v>
      </c>
      <c r="O408">
        <f t="shared" si="40"/>
        <v>9</v>
      </c>
      <c r="P408" t="str">
        <f t="shared" si="41"/>
        <v>Sci-Fi</v>
      </c>
    </row>
    <row r="409" spans="1:16">
      <c r="A409" t="s">
        <v>848</v>
      </c>
      <c r="B409" t="s">
        <v>849</v>
      </c>
      <c r="C409" t="s">
        <v>18</v>
      </c>
      <c r="D409">
        <v>78</v>
      </c>
      <c r="E409">
        <v>2</v>
      </c>
      <c r="F409" t="s">
        <v>31</v>
      </c>
      <c r="G409">
        <v>2013</v>
      </c>
      <c r="H409" t="s">
        <v>25</v>
      </c>
      <c r="I409" s="2">
        <v>44873</v>
      </c>
      <c r="J409" t="str">
        <f t="shared" si="36"/>
        <v>Short</v>
      </c>
      <c r="K409" t="str" cm="1">
        <f t="array" ref="K409">_xlfn.IFS(E409&lt;4, "Poor", E409&lt;7, "Average", E409&lt;9, "Good", TRUE, "Excellent")</f>
        <v>Poor</v>
      </c>
      <c r="L409" t="str">
        <f t="shared" si="37"/>
        <v>M1407 - Movie_407</v>
      </c>
      <c r="M409" t="str">
        <f t="shared" si="38"/>
        <v>Fre</v>
      </c>
      <c r="N409" t="str">
        <f t="shared" si="39"/>
        <v>13</v>
      </c>
      <c r="O409">
        <f t="shared" si="40"/>
        <v>9</v>
      </c>
      <c r="P409" t="str">
        <f t="shared" si="41"/>
        <v>Horror</v>
      </c>
    </row>
    <row r="410" spans="1:16">
      <c r="A410" t="s">
        <v>850</v>
      </c>
      <c r="B410" t="s">
        <v>851</v>
      </c>
      <c r="C410" t="s">
        <v>34</v>
      </c>
      <c r="D410">
        <v>75</v>
      </c>
      <c r="E410">
        <v>1.2</v>
      </c>
      <c r="F410" t="s">
        <v>61</v>
      </c>
      <c r="G410">
        <v>2008</v>
      </c>
      <c r="H410" t="s">
        <v>25</v>
      </c>
      <c r="I410" s="2">
        <v>43836</v>
      </c>
      <c r="J410" t="str">
        <f t="shared" si="36"/>
        <v>Short</v>
      </c>
      <c r="K410" t="str" cm="1">
        <f t="array" ref="K410">_xlfn.IFS(E410&lt;4, "Poor", E410&lt;7, "Average", E410&lt;9, "Good", TRUE, "Excellent")</f>
        <v>Poor</v>
      </c>
      <c r="L410" t="str">
        <f t="shared" si="37"/>
        <v>M1408 - Movie_408</v>
      </c>
      <c r="M410" t="str">
        <f t="shared" si="38"/>
        <v>Ger</v>
      </c>
      <c r="N410" t="str">
        <f t="shared" si="39"/>
        <v>08</v>
      </c>
      <c r="O410">
        <f t="shared" si="40"/>
        <v>9</v>
      </c>
      <c r="P410" t="str">
        <f t="shared" si="41"/>
        <v>Drama</v>
      </c>
    </row>
    <row r="411" spans="1:16">
      <c r="A411" t="s">
        <v>852</v>
      </c>
      <c r="B411" t="s">
        <v>853</v>
      </c>
      <c r="C411" t="s">
        <v>58</v>
      </c>
      <c r="D411">
        <v>102</v>
      </c>
      <c r="E411">
        <v>3.9</v>
      </c>
      <c r="F411" t="s">
        <v>24</v>
      </c>
      <c r="G411">
        <v>2013</v>
      </c>
      <c r="H411" t="s">
        <v>20</v>
      </c>
      <c r="I411" s="2">
        <v>43921</v>
      </c>
      <c r="J411" t="str">
        <f t="shared" si="36"/>
        <v>Short</v>
      </c>
      <c r="K411" t="str" cm="1">
        <f t="array" ref="K411">_xlfn.IFS(E411&lt;4, "Poor", E411&lt;7, "Average", E411&lt;9, "Good", TRUE, "Excellent")</f>
        <v>Poor</v>
      </c>
      <c r="L411" t="str">
        <f t="shared" si="37"/>
        <v>M1409 - Movie_409</v>
      </c>
      <c r="M411" t="str">
        <f t="shared" si="38"/>
        <v>Hin</v>
      </c>
      <c r="N411" t="str">
        <f t="shared" si="39"/>
        <v>13</v>
      </c>
      <c r="O411">
        <f t="shared" si="40"/>
        <v>9</v>
      </c>
      <c r="P411" t="str">
        <f t="shared" si="41"/>
        <v>Sci-Fi</v>
      </c>
    </row>
    <row r="412" spans="1:16">
      <c r="A412" t="s">
        <v>854</v>
      </c>
      <c r="B412" t="s">
        <v>855</v>
      </c>
      <c r="C412" t="s">
        <v>18</v>
      </c>
      <c r="D412">
        <v>138</v>
      </c>
      <c r="E412">
        <v>8.1999999999999993</v>
      </c>
      <c r="F412" t="s">
        <v>28</v>
      </c>
      <c r="G412">
        <v>2025</v>
      </c>
      <c r="H412" t="s">
        <v>20</v>
      </c>
      <c r="I412" s="2">
        <v>43856</v>
      </c>
      <c r="J412" t="str">
        <f t="shared" si="36"/>
        <v>Long</v>
      </c>
      <c r="K412" t="str" cm="1">
        <f t="array" ref="K412">_xlfn.IFS(E412&lt;4, "Poor", E412&lt;7, "Average", E412&lt;9, "Good", TRUE, "Excellent")</f>
        <v>Good</v>
      </c>
      <c r="L412" t="str">
        <f t="shared" si="37"/>
        <v>M1410 - Movie_410</v>
      </c>
      <c r="M412" t="str">
        <f t="shared" si="38"/>
        <v>Spa</v>
      </c>
      <c r="N412" t="str">
        <f t="shared" si="39"/>
        <v>25</v>
      </c>
      <c r="O412">
        <f t="shared" si="40"/>
        <v>9</v>
      </c>
      <c r="P412" t="str">
        <f t="shared" si="41"/>
        <v>Horror</v>
      </c>
    </row>
    <row r="413" spans="1:16">
      <c r="A413" t="s">
        <v>856</v>
      </c>
      <c r="B413" t="s">
        <v>857</v>
      </c>
      <c r="C413" t="s">
        <v>58</v>
      </c>
      <c r="D413">
        <v>133</v>
      </c>
      <c r="E413">
        <v>6.6</v>
      </c>
      <c r="F413" t="s">
        <v>24</v>
      </c>
      <c r="G413">
        <v>2003</v>
      </c>
      <c r="H413" t="s">
        <v>25</v>
      </c>
      <c r="I413" s="2">
        <v>44331</v>
      </c>
      <c r="J413" t="str">
        <f t="shared" si="36"/>
        <v>Long</v>
      </c>
      <c r="K413" t="str" cm="1">
        <f t="array" ref="K413">_xlfn.IFS(E413&lt;4, "Poor", E413&lt;7, "Average", E413&lt;9, "Good", TRUE, "Excellent")</f>
        <v>Average</v>
      </c>
      <c r="L413" t="str">
        <f t="shared" si="37"/>
        <v>M1411 - Movie_411</v>
      </c>
      <c r="M413" t="str">
        <f t="shared" si="38"/>
        <v>Hin</v>
      </c>
      <c r="N413" t="str">
        <f t="shared" si="39"/>
        <v>03</v>
      </c>
      <c r="O413">
        <f t="shared" si="40"/>
        <v>9</v>
      </c>
      <c r="P413" t="str">
        <f t="shared" si="41"/>
        <v>Sci-Fi</v>
      </c>
    </row>
    <row r="414" spans="1:16">
      <c r="A414" t="s">
        <v>858</v>
      </c>
      <c r="B414" t="s">
        <v>859</v>
      </c>
      <c r="C414" t="s">
        <v>23</v>
      </c>
      <c r="D414">
        <v>172</v>
      </c>
      <c r="E414">
        <v>8.5</v>
      </c>
      <c r="F414" t="s">
        <v>35</v>
      </c>
      <c r="G414">
        <v>1984</v>
      </c>
      <c r="H414" t="s">
        <v>25</v>
      </c>
      <c r="I414" s="2">
        <v>43925</v>
      </c>
      <c r="J414" t="str">
        <f t="shared" si="36"/>
        <v>Long</v>
      </c>
      <c r="K414" t="str" cm="1">
        <f t="array" ref="K414">_xlfn.IFS(E414&lt;4, "Poor", E414&lt;7, "Average", E414&lt;9, "Good", TRUE, "Excellent")</f>
        <v>Good</v>
      </c>
      <c r="L414" t="str">
        <f t="shared" si="37"/>
        <v>M1412 - Movie_412</v>
      </c>
      <c r="M414" t="str">
        <f t="shared" si="38"/>
        <v>Eng</v>
      </c>
      <c r="N414" t="str">
        <f t="shared" si="39"/>
        <v>84</v>
      </c>
      <c r="O414">
        <f t="shared" si="40"/>
        <v>9</v>
      </c>
      <c r="P414" t="str">
        <f t="shared" si="41"/>
        <v>Action</v>
      </c>
    </row>
    <row r="415" spans="1:16">
      <c r="A415" t="s">
        <v>860</v>
      </c>
      <c r="B415" t="s">
        <v>861</v>
      </c>
      <c r="C415" t="s">
        <v>18</v>
      </c>
      <c r="D415">
        <v>91</v>
      </c>
      <c r="E415">
        <v>9.3000000000000007</v>
      </c>
      <c r="F415" t="s">
        <v>35</v>
      </c>
      <c r="G415">
        <v>2016</v>
      </c>
      <c r="H415" t="s">
        <v>25</v>
      </c>
      <c r="I415" s="2">
        <v>44797</v>
      </c>
      <c r="J415" t="str">
        <f t="shared" si="36"/>
        <v>Short</v>
      </c>
      <c r="K415" t="str" cm="1">
        <f t="array" ref="K415">_xlfn.IFS(E415&lt;4, "Poor", E415&lt;7, "Average", E415&lt;9, "Good", TRUE, "Excellent")</f>
        <v>Excellent</v>
      </c>
      <c r="L415" t="str">
        <f t="shared" si="37"/>
        <v>M1413 - Movie_413</v>
      </c>
      <c r="M415" t="str">
        <f t="shared" si="38"/>
        <v>Eng</v>
      </c>
      <c r="N415" t="str">
        <f t="shared" si="39"/>
        <v>16</v>
      </c>
      <c r="O415">
        <f t="shared" si="40"/>
        <v>9</v>
      </c>
      <c r="P415" t="str">
        <f t="shared" si="41"/>
        <v>Horror</v>
      </c>
    </row>
    <row r="416" spans="1:16">
      <c r="A416" t="s">
        <v>862</v>
      </c>
      <c r="B416" t="s">
        <v>863</v>
      </c>
      <c r="C416" t="s">
        <v>58</v>
      </c>
      <c r="D416">
        <v>179</v>
      </c>
      <c r="E416">
        <v>1.8</v>
      </c>
      <c r="F416" t="s">
        <v>31</v>
      </c>
      <c r="G416">
        <v>1987</v>
      </c>
      <c r="H416" t="s">
        <v>20</v>
      </c>
      <c r="I416" s="2">
        <v>44576</v>
      </c>
      <c r="J416" t="str">
        <f t="shared" si="36"/>
        <v>Long</v>
      </c>
      <c r="K416" t="str" cm="1">
        <f t="array" ref="K416">_xlfn.IFS(E416&lt;4, "Poor", E416&lt;7, "Average", E416&lt;9, "Good", TRUE, "Excellent")</f>
        <v>Poor</v>
      </c>
      <c r="L416" t="str">
        <f t="shared" si="37"/>
        <v>M1414 - Movie_414</v>
      </c>
      <c r="M416" t="str">
        <f t="shared" si="38"/>
        <v>Fre</v>
      </c>
      <c r="N416" t="str">
        <f t="shared" si="39"/>
        <v>87</v>
      </c>
      <c r="O416">
        <f t="shared" si="40"/>
        <v>9</v>
      </c>
      <c r="P416" t="str">
        <f t="shared" si="41"/>
        <v>Sci-Fi</v>
      </c>
    </row>
    <row r="417" spans="1:16">
      <c r="A417" t="s">
        <v>864</v>
      </c>
      <c r="B417" t="s">
        <v>865</v>
      </c>
      <c r="C417" t="s">
        <v>34</v>
      </c>
      <c r="D417">
        <v>137</v>
      </c>
      <c r="E417">
        <v>8.6</v>
      </c>
      <c r="F417" t="s">
        <v>61</v>
      </c>
      <c r="G417">
        <v>1983</v>
      </c>
      <c r="H417" t="s">
        <v>20</v>
      </c>
      <c r="I417" s="2">
        <v>44615</v>
      </c>
      <c r="J417" t="str">
        <f t="shared" si="36"/>
        <v>Long</v>
      </c>
      <c r="K417" t="str" cm="1">
        <f t="array" ref="K417">_xlfn.IFS(E417&lt;4, "Poor", E417&lt;7, "Average", E417&lt;9, "Good", TRUE, "Excellent")</f>
        <v>Good</v>
      </c>
      <c r="L417" t="str">
        <f t="shared" si="37"/>
        <v>M1415 - Movie_415</v>
      </c>
      <c r="M417" t="str">
        <f t="shared" si="38"/>
        <v>Ger</v>
      </c>
      <c r="N417" t="str">
        <f t="shared" si="39"/>
        <v>83</v>
      </c>
      <c r="O417">
        <f t="shared" si="40"/>
        <v>9</v>
      </c>
      <c r="P417" t="str">
        <f t="shared" si="41"/>
        <v>Drama</v>
      </c>
    </row>
    <row r="418" spans="1:16">
      <c r="A418" t="s">
        <v>866</v>
      </c>
      <c r="B418" t="s">
        <v>867</v>
      </c>
      <c r="C418" t="s">
        <v>18</v>
      </c>
      <c r="D418">
        <v>163</v>
      </c>
      <c r="E418">
        <v>3.2</v>
      </c>
      <c r="F418" t="s">
        <v>19</v>
      </c>
      <c r="G418">
        <v>2015</v>
      </c>
      <c r="H418" t="s">
        <v>20</v>
      </c>
      <c r="I418" s="2">
        <v>44138</v>
      </c>
      <c r="J418" t="str">
        <f t="shared" si="36"/>
        <v>Long</v>
      </c>
      <c r="K418" t="str" cm="1">
        <f t="array" ref="K418">_xlfn.IFS(E418&lt;4, "Poor", E418&lt;7, "Average", E418&lt;9, "Good", TRUE, "Excellent")</f>
        <v>Poor</v>
      </c>
      <c r="L418" t="str">
        <f t="shared" si="37"/>
        <v>M1416 - Movie_416</v>
      </c>
      <c r="M418" t="str">
        <f t="shared" si="38"/>
        <v>Jap</v>
      </c>
      <c r="N418" t="str">
        <f t="shared" si="39"/>
        <v>15</v>
      </c>
      <c r="O418">
        <f t="shared" si="40"/>
        <v>9</v>
      </c>
      <c r="P418" t="str">
        <f t="shared" si="41"/>
        <v>Horror</v>
      </c>
    </row>
    <row r="419" spans="1:16">
      <c r="A419" t="s">
        <v>868</v>
      </c>
      <c r="B419" t="s">
        <v>869</v>
      </c>
      <c r="C419" t="s">
        <v>23</v>
      </c>
      <c r="D419">
        <v>129</v>
      </c>
      <c r="E419">
        <v>6.3</v>
      </c>
      <c r="F419" t="s">
        <v>19</v>
      </c>
      <c r="G419">
        <v>2012</v>
      </c>
      <c r="H419" t="s">
        <v>25</v>
      </c>
      <c r="I419" s="2">
        <v>44197</v>
      </c>
      <c r="J419" t="str">
        <f t="shared" si="36"/>
        <v>Long</v>
      </c>
      <c r="K419" t="str" cm="1">
        <f t="array" ref="K419">_xlfn.IFS(E419&lt;4, "Poor", E419&lt;7, "Average", E419&lt;9, "Good", TRUE, "Excellent")</f>
        <v>Average</v>
      </c>
      <c r="L419" t="str">
        <f t="shared" si="37"/>
        <v>M1417 - Movie_417</v>
      </c>
      <c r="M419" t="str">
        <f t="shared" si="38"/>
        <v>Jap</v>
      </c>
      <c r="N419" t="str">
        <f t="shared" si="39"/>
        <v>12</v>
      </c>
      <c r="O419">
        <f t="shared" si="40"/>
        <v>9</v>
      </c>
      <c r="P419" t="str">
        <f t="shared" si="41"/>
        <v>Action</v>
      </c>
    </row>
    <row r="420" spans="1:16">
      <c r="A420" t="s">
        <v>870</v>
      </c>
      <c r="B420" t="s">
        <v>871</v>
      </c>
      <c r="C420" t="s">
        <v>40</v>
      </c>
      <c r="D420">
        <v>188</v>
      </c>
      <c r="E420">
        <v>5.7</v>
      </c>
      <c r="F420" t="s">
        <v>61</v>
      </c>
      <c r="G420">
        <v>1992</v>
      </c>
      <c r="H420" t="s">
        <v>20</v>
      </c>
      <c r="I420" s="2">
        <v>43903</v>
      </c>
      <c r="J420" t="str">
        <f t="shared" si="36"/>
        <v>Long</v>
      </c>
      <c r="K420" t="str" cm="1">
        <f t="array" ref="K420">_xlfn.IFS(E420&lt;4, "Poor", E420&lt;7, "Average", E420&lt;9, "Good", TRUE, "Excellent")</f>
        <v>Average</v>
      </c>
      <c r="L420" t="str">
        <f t="shared" si="37"/>
        <v>M1418 - Movie_418</v>
      </c>
      <c r="M420" t="str">
        <f t="shared" si="38"/>
        <v>Ger</v>
      </c>
      <c r="N420" t="str">
        <f t="shared" si="39"/>
        <v>92</v>
      </c>
      <c r="O420">
        <f t="shared" si="40"/>
        <v>9</v>
      </c>
      <c r="P420" t="str">
        <f t="shared" si="41"/>
        <v>Comedy</v>
      </c>
    </row>
    <row r="421" spans="1:16">
      <c r="A421" t="s">
        <v>872</v>
      </c>
      <c r="B421" t="s">
        <v>873</v>
      </c>
      <c r="C421" t="s">
        <v>34</v>
      </c>
      <c r="D421">
        <v>198</v>
      </c>
      <c r="E421">
        <v>4.5999999999999996</v>
      </c>
      <c r="F421" t="s">
        <v>24</v>
      </c>
      <c r="G421">
        <v>2016</v>
      </c>
      <c r="H421" t="s">
        <v>20</v>
      </c>
      <c r="I421" s="2">
        <v>44963</v>
      </c>
      <c r="J421" t="str">
        <f t="shared" si="36"/>
        <v>Long</v>
      </c>
      <c r="K421" t="str" cm="1">
        <f t="array" ref="K421">_xlfn.IFS(E421&lt;4, "Poor", E421&lt;7, "Average", E421&lt;9, "Good", TRUE, "Excellent")</f>
        <v>Average</v>
      </c>
      <c r="L421" t="str">
        <f t="shared" si="37"/>
        <v>M1419 - Movie_419</v>
      </c>
      <c r="M421" t="str">
        <f t="shared" si="38"/>
        <v>Hin</v>
      </c>
      <c r="N421" t="str">
        <f t="shared" si="39"/>
        <v>16</v>
      </c>
      <c r="O421">
        <f t="shared" si="40"/>
        <v>9</v>
      </c>
      <c r="P421" t="str">
        <f t="shared" si="41"/>
        <v>Drama</v>
      </c>
    </row>
    <row r="422" spans="1:16">
      <c r="A422" t="s">
        <v>874</v>
      </c>
      <c r="B422" t="s">
        <v>875</v>
      </c>
      <c r="C422" t="s">
        <v>23</v>
      </c>
      <c r="D422">
        <v>186</v>
      </c>
      <c r="E422">
        <v>3.8</v>
      </c>
      <c r="F422" t="s">
        <v>61</v>
      </c>
      <c r="G422">
        <v>2014</v>
      </c>
      <c r="H422" t="s">
        <v>20</v>
      </c>
      <c r="I422" s="2">
        <v>45475</v>
      </c>
      <c r="J422" t="str">
        <f t="shared" si="36"/>
        <v>Long</v>
      </c>
      <c r="K422" t="str" cm="1">
        <f t="array" ref="K422">_xlfn.IFS(E422&lt;4, "Poor", E422&lt;7, "Average", E422&lt;9, "Good", TRUE, "Excellent")</f>
        <v>Poor</v>
      </c>
      <c r="L422" t="str">
        <f t="shared" si="37"/>
        <v>M1420 - Movie_420</v>
      </c>
      <c r="M422" t="str">
        <f t="shared" si="38"/>
        <v>Ger</v>
      </c>
      <c r="N422" t="str">
        <f t="shared" si="39"/>
        <v>14</v>
      </c>
      <c r="O422">
        <f t="shared" si="40"/>
        <v>9</v>
      </c>
      <c r="P422" t="str">
        <f t="shared" si="41"/>
        <v>Action</v>
      </c>
    </row>
    <row r="423" spans="1:16">
      <c r="A423" t="s">
        <v>876</v>
      </c>
      <c r="B423" t="s">
        <v>877</v>
      </c>
      <c r="C423" t="s">
        <v>23</v>
      </c>
      <c r="D423">
        <v>172</v>
      </c>
      <c r="E423">
        <v>4.0999999999999996</v>
      </c>
      <c r="F423" t="s">
        <v>61</v>
      </c>
      <c r="G423">
        <v>1989</v>
      </c>
      <c r="H423" t="s">
        <v>25</v>
      </c>
      <c r="I423" s="2">
        <v>45293</v>
      </c>
      <c r="J423" t="str">
        <f t="shared" si="36"/>
        <v>Long</v>
      </c>
      <c r="K423" t="str" cm="1">
        <f t="array" ref="K423">_xlfn.IFS(E423&lt;4, "Poor", E423&lt;7, "Average", E423&lt;9, "Good", TRUE, "Excellent")</f>
        <v>Average</v>
      </c>
      <c r="L423" t="str">
        <f t="shared" si="37"/>
        <v>M1421 - Movie_421</v>
      </c>
      <c r="M423" t="str">
        <f t="shared" si="38"/>
        <v>Ger</v>
      </c>
      <c r="N423" t="str">
        <f t="shared" si="39"/>
        <v>89</v>
      </c>
      <c r="O423">
        <f t="shared" si="40"/>
        <v>9</v>
      </c>
      <c r="P423" t="str">
        <f t="shared" si="41"/>
        <v>Action</v>
      </c>
    </row>
    <row r="424" spans="1:16">
      <c r="A424" t="s">
        <v>878</v>
      </c>
      <c r="B424" t="s">
        <v>879</v>
      </c>
      <c r="C424" t="s">
        <v>18</v>
      </c>
      <c r="D424">
        <v>80</v>
      </c>
      <c r="E424">
        <v>4</v>
      </c>
      <c r="F424" t="s">
        <v>24</v>
      </c>
      <c r="G424">
        <v>1990</v>
      </c>
      <c r="H424" t="s">
        <v>25</v>
      </c>
      <c r="I424" s="2">
        <v>45347</v>
      </c>
      <c r="J424" t="str">
        <f t="shared" si="36"/>
        <v>Short</v>
      </c>
      <c r="K424" t="str" cm="1">
        <f t="array" ref="K424">_xlfn.IFS(E424&lt;4, "Poor", E424&lt;7, "Average", E424&lt;9, "Good", TRUE, "Excellent")</f>
        <v>Average</v>
      </c>
      <c r="L424" t="str">
        <f t="shared" si="37"/>
        <v>M1422 - Movie_422</v>
      </c>
      <c r="M424" t="str">
        <f t="shared" si="38"/>
        <v>Hin</v>
      </c>
      <c r="N424" t="str">
        <f t="shared" si="39"/>
        <v>90</v>
      </c>
      <c r="O424">
        <f t="shared" si="40"/>
        <v>9</v>
      </c>
      <c r="P424" t="str">
        <f t="shared" si="41"/>
        <v>Horror</v>
      </c>
    </row>
    <row r="425" spans="1:16">
      <c r="A425" t="s">
        <v>880</v>
      </c>
      <c r="B425" t="s">
        <v>881</v>
      </c>
      <c r="C425" t="s">
        <v>58</v>
      </c>
      <c r="D425">
        <v>70</v>
      </c>
      <c r="E425">
        <v>2.5</v>
      </c>
      <c r="F425" t="s">
        <v>35</v>
      </c>
      <c r="G425">
        <v>2000</v>
      </c>
      <c r="H425" t="s">
        <v>20</v>
      </c>
      <c r="I425" s="2">
        <v>45173</v>
      </c>
      <c r="J425" t="str">
        <f t="shared" si="36"/>
        <v>Short</v>
      </c>
      <c r="K425" t="str" cm="1">
        <f t="array" ref="K425">_xlfn.IFS(E425&lt;4, "Poor", E425&lt;7, "Average", E425&lt;9, "Good", TRUE, "Excellent")</f>
        <v>Poor</v>
      </c>
      <c r="L425" t="str">
        <f t="shared" si="37"/>
        <v>M1423 - Movie_423</v>
      </c>
      <c r="M425" t="str">
        <f t="shared" si="38"/>
        <v>Eng</v>
      </c>
      <c r="N425" t="str">
        <f t="shared" si="39"/>
        <v>00</v>
      </c>
      <c r="O425">
        <f t="shared" si="40"/>
        <v>9</v>
      </c>
      <c r="P425" t="str">
        <f t="shared" si="41"/>
        <v>Sci-Fi</v>
      </c>
    </row>
    <row r="426" spans="1:16">
      <c r="A426" t="s">
        <v>882</v>
      </c>
      <c r="B426" t="s">
        <v>883</v>
      </c>
      <c r="C426" t="s">
        <v>40</v>
      </c>
      <c r="D426">
        <v>170</v>
      </c>
      <c r="E426">
        <v>5.6</v>
      </c>
      <c r="F426" t="s">
        <v>28</v>
      </c>
      <c r="G426">
        <v>2013</v>
      </c>
      <c r="H426" t="s">
        <v>25</v>
      </c>
      <c r="I426" s="2">
        <v>44689</v>
      </c>
      <c r="J426" t="str">
        <f t="shared" si="36"/>
        <v>Long</v>
      </c>
      <c r="K426" t="str" cm="1">
        <f t="array" ref="K426">_xlfn.IFS(E426&lt;4, "Poor", E426&lt;7, "Average", E426&lt;9, "Good", TRUE, "Excellent")</f>
        <v>Average</v>
      </c>
      <c r="L426" t="str">
        <f t="shared" si="37"/>
        <v>M1424 - Movie_424</v>
      </c>
      <c r="M426" t="str">
        <f t="shared" si="38"/>
        <v>Spa</v>
      </c>
      <c r="N426" t="str">
        <f t="shared" si="39"/>
        <v>13</v>
      </c>
      <c r="O426">
        <f t="shared" si="40"/>
        <v>9</v>
      </c>
      <c r="P426" t="str">
        <f t="shared" si="41"/>
        <v>Comedy</v>
      </c>
    </row>
    <row r="427" spans="1:16">
      <c r="A427" t="s">
        <v>884</v>
      </c>
      <c r="B427" t="s">
        <v>885</v>
      </c>
      <c r="C427" t="s">
        <v>34</v>
      </c>
      <c r="D427">
        <v>142</v>
      </c>
      <c r="E427">
        <v>2</v>
      </c>
      <c r="F427" t="s">
        <v>31</v>
      </c>
      <c r="G427">
        <v>2008</v>
      </c>
      <c r="H427" t="s">
        <v>20</v>
      </c>
      <c r="I427" s="2">
        <v>44290</v>
      </c>
      <c r="J427" t="str">
        <f t="shared" si="36"/>
        <v>Long</v>
      </c>
      <c r="K427" t="str" cm="1">
        <f t="array" ref="K427">_xlfn.IFS(E427&lt;4, "Poor", E427&lt;7, "Average", E427&lt;9, "Good", TRUE, "Excellent")</f>
        <v>Poor</v>
      </c>
      <c r="L427" t="str">
        <f t="shared" si="37"/>
        <v>M1425 - Movie_425</v>
      </c>
      <c r="M427" t="str">
        <f t="shared" si="38"/>
        <v>Fre</v>
      </c>
      <c r="N427" t="str">
        <f t="shared" si="39"/>
        <v>08</v>
      </c>
      <c r="O427">
        <f t="shared" si="40"/>
        <v>9</v>
      </c>
      <c r="P427" t="str">
        <f t="shared" si="41"/>
        <v>Drama</v>
      </c>
    </row>
    <row r="428" spans="1:16">
      <c r="A428" t="s">
        <v>886</v>
      </c>
      <c r="B428" t="s">
        <v>887</v>
      </c>
      <c r="C428" t="s">
        <v>34</v>
      </c>
      <c r="D428">
        <v>124</v>
      </c>
      <c r="E428">
        <v>5.6</v>
      </c>
      <c r="F428" t="s">
        <v>19</v>
      </c>
      <c r="G428">
        <v>1987</v>
      </c>
      <c r="H428" t="s">
        <v>25</v>
      </c>
      <c r="I428" s="2">
        <v>44490</v>
      </c>
      <c r="J428" t="str">
        <f t="shared" si="36"/>
        <v>Long</v>
      </c>
      <c r="K428" t="str" cm="1">
        <f t="array" ref="K428">_xlfn.IFS(E428&lt;4, "Poor", E428&lt;7, "Average", E428&lt;9, "Good", TRUE, "Excellent")</f>
        <v>Average</v>
      </c>
      <c r="L428" t="str">
        <f t="shared" si="37"/>
        <v>M1426 - Movie_426</v>
      </c>
      <c r="M428" t="str">
        <f t="shared" si="38"/>
        <v>Jap</v>
      </c>
      <c r="N428" t="str">
        <f t="shared" si="39"/>
        <v>87</v>
      </c>
      <c r="O428">
        <f t="shared" si="40"/>
        <v>9</v>
      </c>
      <c r="P428" t="str">
        <f t="shared" si="41"/>
        <v>Drama</v>
      </c>
    </row>
    <row r="429" spans="1:16">
      <c r="A429" t="s">
        <v>888</v>
      </c>
      <c r="B429" t="s">
        <v>889</v>
      </c>
      <c r="C429" t="s">
        <v>58</v>
      </c>
      <c r="D429">
        <v>66</v>
      </c>
      <c r="E429">
        <v>9.1999999999999993</v>
      </c>
      <c r="F429" t="s">
        <v>35</v>
      </c>
      <c r="G429">
        <v>2023</v>
      </c>
      <c r="H429" t="s">
        <v>25</v>
      </c>
      <c r="I429" s="2">
        <v>44339</v>
      </c>
      <c r="J429" t="str">
        <f t="shared" si="36"/>
        <v>Short</v>
      </c>
      <c r="K429" t="str" cm="1">
        <f t="array" ref="K429">_xlfn.IFS(E429&lt;4, "Poor", E429&lt;7, "Average", E429&lt;9, "Good", TRUE, "Excellent")</f>
        <v>Excellent</v>
      </c>
      <c r="L429" t="str">
        <f t="shared" si="37"/>
        <v>M1427 - Movie_427</v>
      </c>
      <c r="M429" t="str">
        <f t="shared" si="38"/>
        <v>Eng</v>
      </c>
      <c r="N429" t="str">
        <f t="shared" si="39"/>
        <v>23</v>
      </c>
      <c r="O429">
        <f t="shared" si="40"/>
        <v>9</v>
      </c>
      <c r="P429" t="str">
        <f t="shared" si="41"/>
        <v>Sci-Fi</v>
      </c>
    </row>
    <row r="430" spans="1:16">
      <c r="A430" t="s">
        <v>890</v>
      </c>
      <c r="B430" t="s">
        <v>891</v>
      </c>
      <c r="C430" t="s">
        <v>40</v>
      </c>
      <c r="D430">
        <v>83</v>
      </c>
      <c r="E430">
        <v>4.0999999999999996</v>
      </c>
      <c r="F430" t="s">
        <v>61</v>
      </c>
      <c r="G430">
        <v>1993</v>
      </c>
      <c r="H430" t="s">
        <v>25</v>
      </c>
      <c r="I430" s="2">
        <v>44683</v>
      </c>
      <c r="J430" t="str">
        <f t="shared" si="36"/>
        <v>Short</v>
      </c>
      <c r="K430" t="str" cm="1">
        <f t="array" ref="K430">_xlfn.IFS(E430&lt;4, "Poor", E430&lt;7, "Average", E430&lt;9, "Good", TRUE, "Excellent")</f>
        <v>Average</v>
      </c>
      <c r="L430" t="str">
        <f t="shared" si="37"/>
        <v>M1428 - Movie_428</v>
      </c>
      <c r="M430" t="str">
        <f t="shared" si="38"/>
        <v>Ger</v>
      </c>
      <c r="N430" t="str">
        <f t="shared" si="39"/>
        <v>93</v>
      </c>
      <c r="O430">
        <f t="shared" si="40"/>
        <v>9</v>
      </c>
      <c r="P430" t="str">
        <f t="shared" si="41"/>
        <v>Comedy</v>
      </c>
    </row>
    <row r="431" spans="1:16">
      <c r="A431" t="s">
        <v>892</v>
      </c>
      <c r="B431" t="s">
        <v>893</v>
      </c>
      <c r="C431" t="s">
        <v>18</v>
      </c>
      <c r="D431">
        <v>118</v>
      </c>
      <c r="E431">
        <v>7.5</v>
      </c>
      <c r="F431" t="s">
        <v>61</v>
      </c>
      <c r="G431">
        <v>2025</v>
      </c>
      <c r="H431" t="s">
        <v>25</v>
      </c>
      <c r="I431" s="2">
        <v>45306</v>
      </c>
      <c r="J431" t="str">
        <f t="shared" si="36"/>
        <v>Short</v>
      </c>
      <c r="K431" t="str" cm="1">
        <f t="array" ref="K431">_xlfn.IFS(E431&lt;4, "Poor", E431&lt;7, "Average", E431&lt;9, "Good", TRUE, "Excellent")</f>
        <v>Good</v>
      </c>
      <c r="L431" t="str">
        <f t="shared" si="37"/>
        <v>M1429 - Movie_429</v>
      </c>
      <c r="M431" t="str">
        <f t="shared" si="38"/>
        <v>Ger</v>
      </c>
      <c r="N431" t="str">
        <f t="shared" si="39"/>
        <v>25</v>
      </c>
      <c r="O431">
        <f t="shared" si="40"/>
        <v>9</v>
      </c>
      <c r="P431" t="str">
        <f t="shared" si="41"/>
        <v>Horror</v>
      </c>
    </row>
    <row r="432" spans="1:16">
      <c r="A432" t="s">
        <v>894</v>
      </c>
      <c r="B432" t="s">
        <v>895</v>
      </c>
      <c r="C432" t="s">
        <v>34</v>
      </c>
      <c r="D432">
        <v>65</v>
      </c>
      <c r="E432">
        <v>8.4</v>
      </c>
      <c r="F432" t="s">
        <v>19</v>
      </c>
      <c r="G432">
        <v>2017</v>
      </c>
      <c r="H432" t="s">
        <v>25</v>
      </c>
      <c r="I432" s="2">
        <v>44486</v>
      </c>
      <c r="J432" t="str">
        <f t="shared" si="36"/>
        <v>Short</v>
      </c>
      <c r="K432" t="str" cm="1">
        <f t="array" ref="K432">_xlfn.IFS(E432&lt;4, "Poor", E432&lt;7, "Average", E432&lt;9, "Good", TRUE, "Excellent")</f>
        <v>Good</v>
      </c>
      <c r="L432" t="str">
        <f t="shared" si="37"/>
        <v>M1430 - Movie_430</v>
      </c>
      <c r="M432" t="str">
        <f t="shared" si="38"/>
        <v>Jap</v>
      </c>
      <c r="N432" t="str">
        <f t="shared" si="39"/>
        <v>17</v>
      </c>
      <c r="O432">
        <f t="shared" si="40"/>
        <v>9</v>
      </c>
      <c r="P432" t="str">
        <f t="shared" si="41"/>
        <v>Drama</v>
      </c>
    </row>
    <row r="433" spans="1:16">
      <c r="A433" t="s">
        <v>896</v>
      </c>
      <c r="B433" t="s">
        <v>897</v>
      </c>
      <c r="C433" t="s">
        <v>40</v>
      </c>
      <c r="D433">
        <v>128</v>
      </c>
      <c r="E433">
        <v>8.3000000000000007</v>
      </c>
      <c r="F433" t="s">
        <v>24</v>
      </c>
      <c r="G433">
        <v>2011</v>
      </c>
      <c r="H433" t="s">
        <v>20</v>
      </c>
      <c r="I433" s="2">
        <v>44386</v>
      </c>
      <c r="J433" t="str">
        <f t="shared" si="36"/>
        <v>Long</v>
      </c>
      <c r="K433" t="str" cm="1">
        <f t="array" ref="K433">_xlfn.IFS(E433&lt;4, "Poor", E433&lt;7, "Average", E433&lt;9, "Good", TRUE, "Excellent")</f>
        <v>Good</v>
      </c>
      <c r="L433" t="str">
        <f t="shared" si="37"/>
        <v>M1431 - Movie_431</v>
      </c>
      <c r="M433" t="str">
        <f t="shared" si="38"/>
        <v>Hin</v>
      </c>
      <c r="N433" t="str">
        <f t="shared" si="39"/>
        <v>11</v>
      </c>
      <c r="O433">
        <f t="shared" si="40"/>
        <v>9</v>
      </c>
      <c r="P433" t="str">
        <f t="shared" si="41"/>
        <v>Comedy</v>
      </c>
    </row>
    <row r="434" spans="1:16">
      <c r="A434" t="s">
        <v>898</v>
      </c>
      <c r="B434" t="s">
        <v>899</v>
      </c>
      <c r="C434" t="s">
        <v>18</v>
      </c>
      <c r="D434">
        <v>70</v>
      </c>
      <c r="E434">
        <v>3.1</v>
      </c>
      <c r="F434" t="s">
        <v>31</v>
      </c>
      <c r="G434">
        <v>1985</v>
      </c>
      <c r="H434" t="s">
        <v>25</v>
      </c>
      <c r="I434" s="2">
        <v>45522</v>
      </c>
      <c r="J434" t="str">
        <f t="shared" si="36"/>
        <v>Short</v>
      </c>
      <c r="K434" t="str" cm="1">
        <f t="array" ref="K434">_xlfn.IFS(E434&lt;4, "Poor", E434&lt;7, "Average", E434&lt;9, "Good", TRUE, "Excellent")</f>
        <v>Poor</v>
      </c>
      <c r="L434" t="str">
        <f t="shared" si="37"/>
        <v>M1432 - Movie_432</v>
      </c>
      <c r="M434" t="str">
        <f t="shared" si="38"/>
        <v>Fre</v>
      </c>
      <c r="N434" t="str">
        <f t="shared" si="39"/>
        <v>85</v>
      </c>
      <c r="O434">
        <f t="shared" si="40"/>
        <v>9</v>
      </c>
      <c r="P434" t="str">
        <f t="shared" si="41"/>
        <v>Horror</v>
      </c>
    </row>
    <row r="435" spans="1:16">
      <c r="A435" t="s">
        <v>900</v>
      </c>
      <c r="B435" t="s">
        <v>901</v>
      </c>
      <c r="C435" t="s">
        <v>18</v>
      </c>
      <c r="D435">
        <v>104</v>
      </c>
      <c r="E435">
        <v>2.2999999999999998</v>
      </c>
      <c r="F435" t="s">
        <v>28</v>
      </c>
      <c r="G435">
        <v>2012</v>
      </c>
      <c r="H435" t="s">
        <v>25</v>
      </c>
      <c r="I435" s="2">
        <v>43990</v>
      </c>
      <c r="J435" t="str">
        <f t="shared" si="36"/>
        <v>Short</v>
      </c>
      <c r="K435" t="str" cm="1">
        <f t="array" ref="K435">_xlfn.IFS(E435&lt;4, "Poor", E435&lt;7, "Average", E435&lt;9, "Good", TRUE, "Excellent")</f>
        <v>Poor</v>
      </c>
      <c r="L435" t="str">
        <f t="shared" si="37"/>
        <v>M1433 - Movie_433</v>
      </c>
      <c r="M435" t="str">
        <f t="shared" si="38"/>
        <v>Spa</v>
      </c>
      <c r="N435" t="str">
        <f t="shared" si="39"/>
        <v>12</v>
      </c>
      <c r="O435">
        <f t="shared" si="40"/>
        <v>9</v>
      </c>
      <c r="P435" t="str">
        <f t="shared" si="41"/>
        <v>Horror</v>
      </c>
    </row>
    <row r="436" spans="1:16">
      <c r="A436" t="s">
        <v>902</v>
      </c>
      <c r="B436" t="s">
        <v>903</v>
      </c>
      <c r="C436" t="s">
        <v>34</v>
      </c>
      <c r="D436">
        <v>180</v>
      </c>
      <c r="E436">
        <v>2.8</v>
      </c>
      <c r="F436" t="s">
        <v>24</v>
      </c>
      <c r="G436">
        <v>2008</v>
      </c>
      <c r="H436" t="s">
        <v>25</v>
      </c>
      <c r="I436" s="2">
        <v>45001</v>
      </c>
      <c r="J436" t="str">
        <f t="shared" si="36"/>
        <v>Long</v>
      </c>
      <c r="K436" t="str" cm="1">
        <f t="array" ref="K436">_xlfn.IFS(E436&lt;4, "Poor", E436&lt;7, "Average", E436&lt;9, "Good", TRUE, "Excellent")</f>
        <v>Poor</v>
      </c>
      <c r="L436" t="str">
        <f t="shared" si="37"/>
        <v>M1434 - Movie_434</v>
      </c>
      <c r="M436" t="str">
        <f t="shared" si="38"/>
        <v>Hin</v>
      </c>
      <c r="N436" t="str">
        <f t="shared" si="39"/>
        <v>08</v>
      </c>
      <c r="O436">
        <f t="shared" si="40"/>
        <v>9</v>
      </c>
      <c r="P436" t="str">
        <f t="shared" si="41"/>
        <v>Drama</v>
      </c>
    </row>
    <row r="437" spans="1:16">
      <c r="A437" t="s">
        <v>904</v>
      </c>
      <c r="B437" t="s">
        <v>905</v>
      </c>
      <c r="C437" t="s">
        <v>58</v>
      </c>
      <c r="D437">
        <v>192</v>
      </c>
      <c r="E437">
        <v>6.4</v>
      </c>
      <c r="F437" t="s">
        <v>19</v>
      </c>
      <c r="G437">
        <v>1983</v>
      </c>
      <c r="H437" t="s">
        <v>20</v>
      </c>
      <c r="I437" s="2">
        <v>44594</v>
      </c>
      <c r="J437" t="str">
        <f t="shared" si="36"/>
        <v>Long</v>
      </c>
      <c r="K437" t="str" cm="1">
        <f t="array" ref="K437">_xlfn.IFS(E437&lt;4, "Poor", E437&lt;7, "Average", E437&lt;9, "Good", TRUE, "Excellent")</f>
        <v>Average</v>
      </c>
      <c r="L437" t="str">
        <f t="shared" si="37"/>
        <v>M1435 - Movie_435</v>
      </c>
      <c r="M437" t="str">
        <f t="shared" si="38"/>
        <v>Jap</v>
      </c>
      <c r="N437" t="str">
        <f t="shared" si="39"/>
        <v>83</v>
      </c>
      <c r="O437">
        <f t="shared" si="40"/>
        <v>9</v>
      </c>
      <c r="P437" t="str">
        <f t="shared" si="41"/>
        <v>Sci-Fi</v>
      </c>
    </row>
    <row r="438" spans="1:16">
      <c r="A438" t="s">
        <v>906</v>
      </c>
      <c r="B438" t="s">
        <v>907</v>
      </c>
      <c r="C438" t="s">
        <v>67</v>
      </c>
      <c r="D438">
        <v>173</v>
      </c>
      <c r="E438">
        <v>7.8</v>
      </c>
      <c r="F438" t="s">
        <v>24</v>
      </c>
      <c r="G438">
        <v>2009</v>
      </c>
      <c r="H438" t="s">
        <v>25</v>
      </c>
      <c r="I438" s="2">
        <v>44075</v>
      </c>
      <c r="J438" t="str">
        <f t="shared" si="36"/>
        <v>Long</v>
      </c>
      <c r="K438" t="str" cm="1">
        <f t="array" ref="K438">_xlfn.IFS(E438&lt;4, "Poor", E438&lt;7, "Average", E438&lt;9, "Good", TRUE, "Excellent")</f>
        <v>Good</v>
      </c>
      <c r="L438" t="str">
        <f t="shared" si="37"/>
        <v>M1436 - Movie_436</v>
      </c>
      <c r="M438" t="str">
        <f t="shared" si="38"/>
        <v>Hin</v>
      </c>
      <c r="N438" t="str">
        <f t="shared" si="39"/>
        <v>09</v>
      </c>
      <c r="O438">
        <f t="shared" si="40"/>
        <v>9</v>
      </c>
      <c r="P438" t="str">
        <f t="shared" si="41"/>
        <v>Thriller</v>
      </c>
    </row>
    <row r="439" spans="1:16">
      <c r="A439" t="s">
        <v>908</v>
      </c>
      <c r="B439" t="s">
        <v>909</v>
      </c>
      <c r="C439" t="s">
        <v>34</v>
      </c>
      <c r="D439">
        <v>131</v>
      </c>
      <c r="E439">
        <v>6.9</v>
      </c>
      <c r="F439" t="s">
        <v>28</v>
      </c>
      <c r="G439">
        <v>1988</v>
      </c>
      <c r="H439" t="s">
        <v>20</v>
      </c>
      <c r="I439" s="2">
        <v>44859</v>
      </c>
      <c r="J439" t="str">
        <f t="shared" si="36"/>
        <v>Long</v>
      </c>
      <c r="K439" t="str" cm="1">
        <f t="array" ref="K439">_xlfn.IFS(E439&lt;4, "Poor", E439&lt;7, "Average", E439&lt;9, "Good", TRUE, "Excellent")</f>
        <v>Average</v>
      </c>
      <c r="L439" t="str">
        <f t="shared" si="37"/>
        <v>M1437 - Movie_437</v>
      </c>
      <c r="M439" t="str">
        <f t="shared" si="38"/>
        <v>Spa</v>
      </c>
      <c r="N439" t="str">
        <f t="shared" si="39"/>
        <v>88</v>
      </c>
      <c r="O439">
        <f t="shared" si="40"/>
        <v>9</v>
      </c>
      <c r="P439" t="str">
        <f t="shared" si="41"/>
        <v>Drama</v>
      </c>
    </row>
    <row r="440" spans="1:16">
      <c r="A440" t="s">
        <v>910</v>
      </c>
      <c r="B440" t="s">
        <v>911</v>
      </c>
      <c r="C440" t="s">
        <v>23</v>
      </c>
      <c r="D440">
        <v>106</v>
      </c>
      <c r="E440">
        <v>2.6</v>
      </c>
      <c r="F440" t="s">
        <v>28</v>
      </c>
      <c r="G440">
        <v>2012</v>
      </c>
      <c r="H440" t="s">
        <v>20</v>
      </c>
      <c r="I440" s="2">
        <v>45209</v>
      </c>
      <c r="J440" t="str">
        <f t="shared" si="36"/>
        <v>Short</v>
      </c>
      <c r="K440" t="str" cm="1">
        <f t="array" ref="K440">_xlfn.IFS(E440&lt;4, "Poor", E440&lt;7, "Average", E440&lt;9, "Good", TRUE, "Excellent")</f>
        <v>Poor</v>
      </c>
      <c r="L440" t="str">
        <f t="shared" si="37"/>
        <v>M1438 - Movie_438</v>
      </c>
      <c r="M440" t="str">
        <f t="shared" si="38"/>
        <v>Spa</v>
      </c>
      <c r="N440" t="str">
        <f t="shared" si="39"/>
        <v>12</v>
      </c>
      <c r="O440">
        <f t="shared" si="40"/>
        <v>9</v>
      </c>
      <c r="P440" t="str">
        <f t="shared" si="41"/>
        <v>Action</v>
      </c>
    </row>
    <row r="441" spans="1:16">
      <c r="A441" t="s">
        <v>912</v>
      </c>
      <c r="B441" t="s">
        <v>913</v>
      </c>
      <c r="C441" t="s">
        <v>23</v>
      </c>
      <c r="D441">
        <v>171</v>
      </c>
      <c r="E441">
        <v>8</v>
      </c>
      <c r="F441" t="s">
        <v>61</v>
      </c>
      <c r="G441">
        <v>2006</v>
      </c>
      <c r="H441" t="s">
        <v>25</v>
      </c>
      <c r="I441" s="2">
        <v>43938</v>
      </c>
      <c r="J441" t="str">
        <f t="shared" si="36"/>
        <v>Long</v>
      </c>
      <c r="K441" t="str" cm="1">
        <f t="array" ref="K441">_xlfn.IFS(E441&lt;4, "Poor", E441&lt;7, "Average", E441&lt;9, "Good", TRUE, "Excellent")</f>
        <v>Good</v>
      </c>
      <c r="L441" t="str">
        <f t="shared" si="37"/>
        <v>M1439 - Movie_439</v>
      </c>
      <c r="M441" t="str">
        <f t="shared" si="38"/>
        <v>Ger</v>
      </c>
      <c r="N441" t="str">
        <f t="shared" si="39"/>
        <v>06</v>
      </c>
      <c r="O441">
        <f t="shared" si="40"/>
        <v>9</v>
      </c>
      <c r="P441" t="str">
        <f t="shared" si="41"/>
        <v>Action</v>
      </c>
    </row>
    <row r="442" spans="1:16">
      <c r="A442" t="s">
        <v>914</v>
      </c>
      <c r="B442" t="s">
        <v>915</v>
      </c>
      <c r="C442" t="s">
        <v>18</v>
      </c>
      <c r="D442">
        <v>185</v>
      </c>
      <c r="E442">
        <v>5.4</v>
      </c>
      <c r="F442" t="s">
        <v>24</v>
      </c>
      <c r="G442">
        <v>2009</v>
      </c>
      <c r="H442" t="s">
        <v>20</v>
      </c>
      <c r="I442" s="2">
        <v>44198</v>
      </c>
      <c r="J442" t="str">
        <f t="shared" si="36"/>
        <v>Long</v>
      </c>
      <c r="K442" t="str" cm="1">
        <f t="array" ref="K442">_xlfn.IFS(E442&lt;4, "Poor", E442&lt;7, "Average", E442&lt;9, "Good", TRUE, "Excellent")</f>
        <v>Average</v>
      </c>
      <c r="L442" t="str">
        <f t="shared" si="37"/>
        <v>M1440 - Movie_440</v>
      </c>
      <c r="M442" t="str">
        <f t="shared" si="38"/>
        <v>Hin</v>
      </c>
      <c r="N442" t="str">
        <f t="shared" si="39"/>
        <v>09</v>
      </c>
      <c r="O442">
        <f t="shared" si="40"/>
        <v>9</v>
      </c>
      <c r="P442" t="str">
        <f t="shared" si="41"/>
        <v>Horror</v>
      </c>
    </row>
    <row r="443" spans="1:16">
      <c r="A443" t="s">
        <v>916</v>
      </c>
      <c r="B443" t="s">
        <v>917</v>
      </c>
      <c r="C443" t="s">
        <v>67</v>
      </c>
      <c r="D443">
        <v>83</v>
      </c>
      <c r="E443">
        <v>7.8</v>
      </c>
      <c r="F443" t="s">
        <v>35</v>
      </c>
      <c r="G443">
        <v>2016</v>
      </c>
      <c r="H443" t="s">
        <v>20</v>
      </c>
      <c r="I443" s="2">
        <v>44288</v>
      </c>
      <c r="J443" t="str">
        <f t="shared" si="36"/>
        <v>Short</v>
      </c>
      <c r="K443" t="str" cm="1">
        <f t="array" ref="K443">_xlfn.IFS(E443&lt;4, "Poor", E443&lt;7, "Average", E443&lt;9, "Good", TRUE, "Excellent")</f>
        <v>Good</v>
      </c>
      <c r="L443" t="str">
        <f t="shared" si="37"/>
        <v>M1441 - Movie_441</v>
      </c>
      <c r="M443" t="str">
        <f t="shared" si="38"/>
        <v>Eng</v>
      </c>
      <c r="N443" t="str">
        <f t="shared" si="39"/>
        <v>16</v>
      </c>
      <c r="O443">
        <f t="shared" si="40"/>
        <v>9</v>
      </c>
      <c r="P443" t="str">
        <f t="shared" si="41"/>
        <v>Thriller</v>
      </c>
    </row>
    <row r="444" spans="1:16">
      <c r="A444" t="s">
        <v>918</v>
      </c>
      <c r="B444" t="s">
        <v>919</v>
      </c>
      <c r="C444" t="s">
        <v>34</v>
      </c>
      <c r="D444">
        <v>180</v>
      </c>
      <c r="E444">
        <v>7.8</v>
      </c>
      <c r="F444" t="s">
        <v>35</v>
      </c>
      <c r="G444">
        <v>1983</v>
      </c>
      <c r="H444" t="s">
        <v>25</v>
      </c>
      <c r="I444" s="2">
        <v>45478</v>
      </c>
      <c r="J444" t="str">
        <f t="shared" si="36"/>
        <v>Long</v>
      </c>
      <c r="K444" t="str" cm="1">
        <f t="array" ref="K444">_xlfn.IFS(E444&lt;4, "Poor", E444&lt;7, "Average", E444&lt;9, "Good", TRUE, "Excellent")</f>
        <v>Good</v>
      </c>
      <c r="L444" t="str">
        <f t="shared" si="37"/>
        <v>M1442 - Movie_442</v>
      </c>
      <c r="M444" t="str">
        <f t="shared" si="38"/>
        <v>Eng</v>
      </c>
      <c r="N444" t="str">
        <f t="shared" si="39"/>
        <v>83</v>
      </c>
      <c r="O444">
        <f t="shared" si="40"/>
        <v>9</v>
      </c>
      <c r="P444" t="str">
        <f t="shared" si="41"/>
        <v>Drama</v>
      </c>
    </row>
    <row r="445" spans="1:16">
      <c r="A445" t="s">
        <v>920</v>
      </c>
      <c r="B445" t="s">
        <v>921</v>
      </c>
      <c r="C445" t="s">
        <v>23</v>
      </c>
      <c r="D445">
        <v>149</v>
      </c>
      <c r="E445">
        <v>5</v>
      </c>
      <c r="F445" t="s">
        <v>24</v>
      </c>
      <c r="G445">
        <v>2015</v>
      </c>
      <c r="H445" t="s">
        <v>20</v>
      </c>
      <c r="I445" s="2">
        <v>44887</v>
      </c>
      <c r="J445" t="str">
        <f t="shared" si="36"/>
        <v>Long</v>
      </c>
      <c r="K445" t="str" cm="1">
        <f t="array" ref="K445">_xlfn.IFS(E445&lt;4, "Poor", E445&lt;7, "Average", E445&lt;9, "Good", TRUE, "Excellent")</f>
        <v>Average</v>
      </c>
      <c r="L445" t="str">
        <f t="shared" si="37"/>
        <v>M1443 - Movie_443</v>
      </c>
      <c r="M445" t="str">
        <f t="shared" si="38"/>
        <v>Hin</v>
      </c>
      <c r="N445" t="str">
        <f t="shared" si="39"/>
        <v>15</v>
      </c>
      <c r="O445">
        <f t="shared" si="40"/>
        <v>9</v>
      </c>
      <c r="P445" t="str">
        <f t="shared" si="41"/>
        <v>Action</v>
      </c>
    </row>
    <row r="446" spans="1:16">
      <c r="A446" t="s">
        <v>922</v>
      </c>
      <c r="B446" t="s">
        <v>923</v>
      </c>
      <c r="C446" t="s">
        <v>23</v>
      </c>
      <c r="D446">
        <v>164</v>
      </c>
      <c r="E446">
        <v>9.3000000000000007</v>
      </c>
      <c r="F446" t="s">
        <v>28</v>
      </c>
      <c r="G446">
        <v>2009</v>
      </c>
      <c r="H446" t="s">
        <v>20</v>
      </c>
      <c r="I446" s="2">
        <v>43925</v>
      </c>
      <c r="J446" t="str">
        <f t="shared" si="36"/>
        <v>Long</v>
      </c>
      <c r="K446" t="str" cm="1">
        <f t="array" ref="K446">_xlfn.IFS(E446&lt;4, "Poor", E446&lt;7, "Average", E446&lt;9, "Good", TRUE, "Excellent")</f>
        <v>Excellent</v>
      </c>
      <c r="L446" t="str">
        <f t="shared" si="37"/>
        <v>M1444 - Movie_444</v>
      </c>
      <c r="M446" t="str">
        <f t="shared" si="38"/>
        <v>Spa</v>
      </c>
      <c r="N446" t="str">
        <f t="shared" si="39"/>
        <v>09</v>
      </c>
      <c r="O446">
        <f t="shared" si="40"/>
        <v>9</v>
      </c>
      <c r="P446" t="str">
        <f t="shared" si="41"/>
        <v>Action</v>
      </c>
    </row>
    <row r="447" spans="1:16">
      <c r="A447" t="s">
        <v>924</v>
      </c>
      <c r="B447" t="s">
        <v>925</v>
      </c>
      <c r="C447" t="s">
        <v>34</v>
      </c>
      <c r="D447">
        <v>145</v>
      </c>
      <c r="E447">
        <v>6.1</v>
      </c>
      <c r="F447" t="s">
        <v>31</v>
      </c>
      <c r="G447">
        <v>2023</v>
      </c>
      <c r="H447" t="s">
        <v>25</v>
      </c>
      <c r="I447" s="2">
        <v>44652</v>
      </c>
      <c r="J447" t="str">
        <f t="shared" si="36"/>
        <v>Long</v>
      </c>
      <c r="K447" t="str" cm="1">
        <f t="array" ref="K447">_xlfn.IFS(E447&lt;4, "Poor", E447&lt;7, "Average", E447&lt;9, "Good", TRUE, "Excellent")</f>
        <v>Average</v>
      </c>
      <c r="L447" t="str">
        <f t="shared" si="37"/>
        <v>M1445 - Movie_445</v>
      </c>
      <c r="M447" t="str">
        <f t="shared" si="38"/>
        <v>Fre</v>
      </c>
      <c r="N447" t="str">
        <f t="shared" si="39"/>
        <v>23</v>
      </c>
      <c r="O447">
        <f t="shared" si="40"/>
        <v>9</v>
      </c>
      <c r="P447" t="str">
        <f t="shared" si="41"/>
        <v>Drama</v>
      </c>
    </row>
    <row r="448" spans="1:16">
      <c r="A448" t="s">
        <v>926</v>
      </c>
      <c r="B448" t="s">
        <v>927</v>
      </c>
      <c r="C448" t="s">
        <v>40</v>
      </c>
      <c r="D448">
        <v>142</v>
      </c>
      <c r="E448">
        <v>6.7</v>
      </c>
      <c r="F448" t="s">
        <v>28</v>
      </c>
      <c r="G448">
        <v>1999</v>
      </c>
      <c r="H448" t="s">
        <v>20</v>
      </c>
      <c r="I448" s="2">
        <v>43972</v>
      </c>
      <c r="J448" t="str">
        <f t="shared" si="36"/>
        <v>Long</v>
      </c>
      <c r="K448" t="str" cm="1">
        <f t="array" ref="K448">_xlfn.IFS(E448&lt;4, "Poor", E448&lt;7, "Average", E448&lt;9, "Good", TRUE, "Excellent")</f>
        <v>Average</v>
      </c>
      <c r="L448" t="str">
        <f t="shared" si="37"/>
        <v>M1446 - Movie_446</v>
      </c>
      <c r="M448" t="str">
        <f t="shared" si="38"/>
        <v>Spa</v>
      </c>
      <c r="N448" t="str">
        <f t="shared" si="39"/>
        <v>99</v>
      </c>
      <c r="O448">
        <f t="shared" si="40"/>
        <v>9</v>
      </c>
      <c r="P448" t="str">
        <f t="shared" si="41"/>
        <v>Comedy</v>
      </c>
    </row>
    <row r="449" spans="1:16">
      <c r="A449" t="s">
        <v>928</v>
      </c>
      <c r="B449" t="s">
        <v>929</v>
      </c>
      <c r="C449" t="s">
        <v>18</v>
      </c>
      <c r="D449">
        <v>86</v>
      </c>
      <c r="E449">
        <v>6.6</v>
      </c>
      <c r="F449" t="s">
        <v>28</v>
      </c>
      <c r="G449">
        <v>1981</v>
      </c>
      <c r="H449" t="s">
        <v>25</v>
      </c>
      <c r="I449" s="2">
        <v>44783</v>
      </c>
      <c r="J449" t="str">
        <f t="shared" si="36"/>
        <v>Short</v>
      </c>
      <c r="K449" t="str" cm="1">
        <f t="array" ref="K449">_xlfn.IFS(E449&lt;4, "Poor", E449&lt;7, "Average", E449&lt;9, "Good", TRUE, "Excellent")</f>
        <v>Average</v>
      </c>
      <c r="L449" t="str">
        <f t="shared" si="37"/>
        <v>M1447 - Movie_447</v>
      </c>
      <c r="M449" t="str">
        <f t="shared" si="38"/>
        <v>Spa</v>
      </c>
      <c r="N449" t="str">
        <f t="shared" si="39"/>
        <v>81</v>
      </c>
      <c r="O449">
        <f t="shared" si="40"/>
        <v>9</v>
      </c>
      <c r="P449" t="str">
        <f t="shared" si="41"/>
        <v>Horror</v>
      </c>
    </row>
    <row r="450" spans="1:16">
      <c r="A450" t="s">
        <v>930</v>
      </c>
      <c r="B450" t="s">
        <v>931</v>
      </c>
      <c r="C450" t="s">
        <v>34</v>
      </c>
      <c r="D450">
        <v>101</v>
      </c>
      <c r="E450">
        <v>8.8000000000000007</v>
      </c>
      <c r="F450" t="s">
        <v>31</v>
      </c>
      <c r="G450">
        <v>2005</v>
      </c>
      <c r="H450" t="s">
        <v>25</v>
      </c>
      <c r="I450" s="2">
        <v>44409</v>
      </c>
      <c r="J450" t="str">
        <f t="shared" si="36"/>
        <v>Short</v>
      </c>
      <c r="K450" t="str" cm="1">
        <f t="array" ref="K450">_xlfn.IFS(E450&lt;4, "Poor", E450&lt;7, "Average", E450&lt;9, "Good", TRUE, "Excellent")</f>
        <v>Good</v>
      </c>
      <c r="L450" t="str">
        <f t="shared" si="37"/>
        <v>M1448 - Movie_448</v>
      </c>
      <c r="M450" t="str">
        <f t="shared" si="38"/>
        <v>Fre</v>
      </c>
      <c r="N450" t="str">
        <f t="shared" si="39"/>
        <v>05</v>
      </c>
      <c r="O450">
        <f t="shared" si="40"/>
        <v>9</v>
      </c>
      <c r="P450" t="str">
        <f t="shared" si="41"/>
        <v>Drama</v>
      </c>
    </row>
    <row r="451" spans="1:16">
      <c r="A451" t="s">
        <v>932</v>
      </c>
      <c r="B451" t="s">
        <v>933</v>
      </c>
      <c r="C451" t="s">
        <v>40</v>
      </c>
      <c r="D451">
        <v>144</v>
      </c>
      <c r="E451">
        <v>6.6</v>
      </c>
      <c r="F451" t="s">
        <v>19</v>
      </c>
      <c r="G451">
        <v>1996</v>
      </c>
      <c r="H451" t="s">
        <v>20</v>
      </c>
      <c r="I451" s="2">
        <v>45415</v>
      </c>
      <c r="J451" t="str">
        <f t="shared" ref="J451:J514" si="42">IF(D451&gt;120, "Long", "Short")</f>
        <v>Long</v>
      </c>
      <c r="K451" t="str" cm="1">
        <f t="array" ref="K451">_xlfn.IFS(E451&lt;4, "Poor", E451&lt;7, "Average", E451&lt;9, "Good", TRUE, "Excellent")</f>
        <v>Average</v>
      </c>
      <c r="L451" t="str">
        <f t="shared" ref="L451:L501" si="43">_xlfn.CONCAT(A451, " - ", B451)</f>
        <v>M1449 - Movie_449</v>
      </c>
      <c r="M451" t="str">
        <f t="shared" ref="M451:M491" si="44">LEFT(F451,3)</f>
        <v>Jap</v>
      </c>
      <c r="N451" t="str">
        <f t="shared" ref="N451:N490" si="45">RIGHT(G451,2)</f>
        <v>96</v>
      </c>
      <c r="O451">
        <f t="shared" ref="O451:O491" si="46">LEN(B451)</f>
        <v>9</v>
      </c>
      <c r="P451" t="str">
        <f t="shared" ref="P451:P468" si="47">TRIM(C451)</f>
        <v>Comedy</v>
      </c>
    </row>
    <row r="452" spans="1:16">
      <c r="A452" t="s">
        <v>934</v>
      </c>
      <c r="B452" t="s">
        <v>935</v>
      </c>
      <c r="C452" t="s">
        <v>18</v>
      </c>
      <c r="D452">
        <v>165</v>
      </c>
      <c r="E452">
        <v>2.4</v>
      </c>
      <c r="F452" t="s">
        <v>28</v>
      </c>
      <c r="G452">
        <v>1980</v>
      </c>
      <c r="H452" t="s">
        <v>25</v>
      </c>
      <c r="I452" s="2">
        <v>44467</v>
      </c>
      <c r="J452" t="str">
        <f t="shared" si="42"/>
        <v>Long</v>
      </c>
      <c r="K452" t="str" cm="1">
        <f t="array" ref="K452">_xlfn.IFS(E452&lt;4, "Poor", E452&lt;7, "Average", E452&lt;9, "Good", TRUE, "Excellent")</f>
        <v>Poor</v>
      </c>
      <c r="L452" t="str">
        <f t="shared" si="43"/>
        <v>M1450 - Movie_450</v>
      </c>
      <c r="M452" t="str">
        <f t="shared" si="44"/>
        <v>Spa</v>
      </c>
      <c r="N452" t="str">
        <f t="shared" si="45"/>
        <v>80</v>
      </c>
      <c r="O452">
        <f t="shared" si="46"/>
        <v>9</v>
      </c>
      <c r="P452" t="str">
        <f t="shared" si="47"/>
        <v>Horror</v>
      </c>
    </row>
    <row r="453" spans="1:16">
      <c r="A453" t="s">
        <v>936</v>
      </c>
      <c r="B453" t="s">
        <v>937</v>
      </c>
      <c r="C453" t="s">
        <v>67</v>
      </c>
      <c r="D453">
        <v>186</v>
      </c>
      <c r="E453">
        <v>1.6</v>
      </c>
      <c r="F453" t="s">
        <v>31</v>
      </c>
      <c r="G453">
        <v>1993</v>
      </c>
      <c r="H453" t="s">
        <v>25</v>
      </c>
      <c r="I453" s="2">
        <v>44501</v>
      </c>
      <c r="J453" t="str">
        <f t="shared" si="42"/>
        <v>Long</v>
      </c>
      <c r="K453" t="str" cm="1">
        <f t="array" ref="K453">_xlfn.IFS(E453&lt;4, "Poor", E453&lt;7, "Average", E453&lt;9, "Good", TRUE, "Excellent")</f>
        <v>Poor</v>
      </c>
      <c r="L453" t="str">
        <f t="shared" si="43"/>
        <v>M1451 - Movie_451</v>
      </c>
      <c r="M453" t="str">
        <f t="shared" si="44"/>
        <v>Fre</v>
      </c>
      <c r="N453" t="str">
        <f t="shared" si="45"/>
        <v>93</v>
      </c>
      <c r="O453">
        <f t="shared" si="46"/>
        <v>9</v>
      </c>
      <c r="P453" t="str">
        <f t="shared" si="47"/>
        <v>Thriller</v>
      </c>
    </row>
    <row r="454" spans="1:16">
      <c r="A454" t="s">
        <v>938</v>
      </c>
      <c r="B454" t="s">
        <v>939</v>
      </c>
      <c r="C454" t="s">
        <v>58</v>
      </c>
      <c r="D454">
        <v>133</v>
      </c>
      <c r="E454">
        <v>5</v>
      </c>
      <c r="F454" t="s">
        <v>24</v>
      </c>
      <c r="G454">
        <v>2017</v>
      </c>
      <c r="H454" t="s">
        <v>20</v>
      </c>
      <c r="I454" s="2">
        <v>44007</v>
      </c>
      <c r="J454" t="str">
        <f t="shared" si="42"/>
        <v>Long</v>
      </c>
      <c r="K454" t="str" cm="1">
        <f t="array" ref="K454">_xlfn.IFS(E454&lt;4, "Poor", E454&lt;7, "Average", E454&lt;9, "Good", TRUE, "Excellent")</f>
        <v>Average</v>
      </c>
      <c r="L454" t="str">
        <f t="shared" si="43"/>
        <v>M1452 - Movie_452</v>
      </c>
      <c r="M454" t="str">
        <f t="shared" si="44"/>
        <v>Hin</v>
      </c>
      <c r="N454" t="str">
        <f t="shared" si="45"/>
        <v>17</v>
      </c>
      <c r="O454">
        <f t="shared" si="46"/>
        <v>9</v>
      </c>
      <c r="P454" t="str">
        <f t="shared" si="47"/>
        <v>Sci-Fi</v>
      </c>
    </row>
    <row r="455" spans="1:16">
      <c r="A455" t="s">
        <v>940</v>
      </c>
      <c r="B455" t="s">
        <v>941</v>
      </c>
      <c r="C455" t="s">
        <v>18</v>
      </c>
      <c r="D455">
        <v>162</v>
      </c>
      <c r="E455">
        <v>3.7</v>
      </c>
      <c r="F455" t="s">
        <v>31</v>
      </c>
      <c r="G455">
        <v>1984</v>
      </c>
      <c r="H455" t="s">
        <v>25</v>
      </c>
      <c r="I455" s="2">
        <v>44963</v>
      </c>
      <c r="J455" t="str">
        <f t="shared" si="42"/>
        <v>Long</v>
      </c>
      <c r="K455" t="str" cm="1">
        <f t="array" ref="K455">_xlfn.IFS(E455&lt;4, "Poor", E455&lt;7, "Average", E455&lt;9, "Good", TRUE, "Excellent")</f>
        <v>Poor</v>
      </c>
      <c r="L455" t="str">
        <f t="shared" si="43"/>
        <v>M1453 - Movie_453</v>
      </c>
      <c r="M455" t="str">
        <f t="shared" si="44"/>
        <v>Fre</v>
      </c>
      <c r="N455" t="str">
        <f t="shared" si="45"/>
        <v>84</v>
      </c>
      <c r="O455">
        <f t="shared" si="46"/>
        <v>9</v>
      </c>
      <c r="P455" t="str">
        <f t="shared" si="47"/>
        <v>Horror</v>
      </c>
    </row>
    <row r="456" spans="1:16">
      <c r="A456" t="s">
        <v>942</v>
      </c>
      <c r="B456" t="s">
        <v>943</v>
      </c>
      <c r="C456" t="s">
        <v>67</v>
      </c>
      <c r="D456">
        <v>200</v>
      </c>
      <c r="E456">
        <v>3.5</v>
      </c>
      <c r="F456" t="s">
        <v>35</v>
      </c>
      <c r="G456">
        <v>1982</v>
      </c>
      <c r="H456" t="s">
        <v>20</v>
      </c>
      <c r="I456" s="2">
        <v>44766</v>
      </c>
      <c r="J456" t="str">
        <f t="shared" si="42"/>
        <v>Long</v>
      </c>
      <c r="K456" t="str" cm="1">
        <f t="array" ref="K456">_xlfn.IFS(E456&lt;4, "Poor", E456&lt;7, "Average", E456&lt;9, "Good", TRUE, "Excellent")</f>
        <v>Poor</v>
      </c>
      <c r="L456" t="str">
        <f t="shared" si="43"/>
        <v>M1454 - Movie_454</v>
      </c>
      <c r="M456" t="str">
        <f t="shared" si="44"/>
        <v>Eng</v>
      </c>
      <c r="N456" t="str">
        <f t="shared" si="45"/>
        <v>82</v>
      </c>
      <c r="O456">
        <f t="shared" si="46"/>
        <v>9</v>
      </c>
      <c r="P456" t="str">
        <f t="shared" si="47"/>
        <v>Thriller</v>
      </c>
    </row>
    <row r="457" spans="1:16">
      <c r="A457" t="s">
        <v>944</v>
      </c>
      <c r="B457" t="s">
        <v>945</v>
      </c>
      <c r="C457" t="s">
        <v>58</v>
      </c>
      <c r="D457">
        <v>69</v>
      </c>
      <c r="E457">
        <v>1.5</v>
      </c>
      <c r="F457" t="s">
        <v>31</v>
      </c>
      <c r="G457">
        <v>2007</v>
      </c>
      <c r="H457" t="s">
        <v>20</v>
      </c>
      <c r="I457" s="2">
        <v>43847</v>
      </c>
      <c r="J457" t="str">
        <f t="shared" si="42"/>
        <v>Short</v>
      </c>
      <c r="K457" t="str" cm="1">
        <f t="array" ref="K457">_xlfn.IFS(E457&lt;4, "Poor", E457&lt;7, "Average", E457&lt;9, "Good", TRUE, "Excellent")</f>
        <v>Poor</v>
      </c>
      <c r="L457" t="str">
        <f t="shared" si="43"/>
        <v>M1455 - Movie_455</v>
      </c>
      <c r="M457" t="str">
        <f t="shared" si="44"/>
        <v>Fre</v>
      </c>
      <c r="N457" t="str">
        <f t="shared" si="45"/>
        <v>07</v>
      </c>
      <c r="O457">
        <f t="shared" si="46"/>
        <v>9</v>
      </c>
      <c r="P457" t="str">
        <f t="shared" si="47"/>
        <v>Sci-Fi</v>
      </c>
    </row>
    <row r="458" spans="1:16">
      <c r="A458" t="s">
        <v>946</v>
      </c>
      <c r="B458" t="s">
        <v>947</v>
      </c>
      <c r="C458" t="s">
        <v>23</v>
      </c>
      <c r="D458">
        <v>176</v>
      </c>
      <c r="E458">
        <v>5.6</v>
      </c>
      <c r="F458" t="s">
        <v>28</v>
      </c>
      <c r="G458">
        <v>2002</v>
      </c>
      <c r="H458" t="s">
        <v>25</v>
      </c>
      <c r="I458" s="2">
        <v>44586</v>
      </c>
      <c r="J458" t="str">
        <f t="shared" si="42"/>
        <v>Long</v>
      </c>
      <c r="K458" t="str" cm="1">
        <f t="array" ref="K458">_xlfn.IFS(E458&lt;4, "Poor", E458&lt;7, "Average", E458&lt;9, "Good", TRUE, "Excellent")</f>
        <v>Average</v>
      </c>
      <c r="L458" t="str">
        <f t="shared" si="43"/>
        <v>M1456 - Movie_456</v>
      </c>
      <c r="M458" t="str">
        <f t="shared" si="44"/>
        <v>Spa</v>
      </c>
      <c r="N458" t="str">
        <f t="shared" si="45"/>
        <v>02</v>
      </c>
      <c r="O458">
        <f t="shared" si="46"/>
        <v>9</v>
      </c>
      <c r="P458" t="str">
        <f t="shared" si="47"/>
        <v>Action</v>
      </c>
    </row>
    <row r="459" spans="1:16">
      <c r="A459" t="s">
        <v>948</v>
      </c>
      <c r="B459" t="s">
        <v>949</v>
      </c>
      <c r="C459" t="s">
        <v>23</v>
      </c>
      <c r="D459">
        <v>82</v>
      </c>
      <c r="E459">
        <v>3.8</v>
      </c>
      <c r="F459" t="s">
        <v>19</v>
      </c>
      <c r="G459">
        <v>2024</v>
      </c>
      <c r="H459" t="s">
        <v>25</v>
      </c>
      <c r="I459" s="2">
        <v>44241</v>
      </c>
      <c r="J459" t="str">
        <f t="shared" si="42"/>
        <v>Short</v>
      </c>
      <c r="K459" t="str" cm="1">
        <f t="array" ref="K459">_xlfn.IFS(E459&lt;4, "Poor", E459&lt;7, "Average", E459&lt;9, "Good", TRUE, "Excellent")</f>
        <v>Poor</v>
      </c>
      <c r="L459" t="str">
        <f t="shared" si="43"/>
        <v>M1457 - Movie_457</v>
      </c>
      <c r="M459" t="str">
        <f t="shared" si="44"/>
        <v>Jap</v>
      </c>
      <c r="N459" t="str">
        <f t="shared" si="45"/>
        <v>24</v>
      </c>
      <c r="O459">
        <f t="shared" si="46"/>
        <v>9</v>
      </c>
      <c r="P459" t="str">
        <f t="shared" si="47"/>
        <v>Action</v>
      </c>
    </row>
    <row r="460" spans="1:16">
      <c r="A460" t="s">
        <v>950</v>
      </c>
      <c r="B460" t="s">
        <v>951</v>
      </c>
      <c r="C460" t="s">
        <v>23</v>
      </c>
      <c r="D460">
        <v>140</v>
      </c>
      <c r="E460">
        <v>5.0999999999999996</v>
      </c>
      <c r="F460" t="s">
        <v>24</v>
      </c>
      <c r="G460">
        <v>1984</v>
      </c>
      <c r="H460" t="s">
        <v>20</v>
      </c>
      <c r="I460" s="2">
        <v>44428</v>
      </c>
      <c r="J460" t="str">
        <f t="shared" si="42"/>
        <v>Long</v>
      </c>
      <c r="K460" t="str" cm="1">
        <f t="array" ref="K460">_xlfn.IFS(E460&lt;4, "Poor", E460&lt;7, "Average", E460&lt;9, "Good", TRUE, "Excellent")</f>
        <v>Average</v>
      </c>
      <c r="L460" t="str">
        <f t="shared" si="43"/>
        <v>M1458 - Movie_458</v>
      </c>
      <c r="M460" t="str">
        <f t="shared" si="44"/>
        <v>Hin</v>
      </c>
      <c r="N460" t="str">
        <f t="shared" si="45"/>
        <v>84</v>
      </c>
      <c r="O460">
        <f t="shared" si="46"/>
        <v>9</v>
      </c>
      <c r="P460" t="str">
        <f t="shared" si="47"/>
        <v>Action</v>
      </c>
    </row>
    <row r="461" spans="1:16">
      <c r="A461" t="s">
        <v>952</v>
      </c>
      <c r="B461" t="s">
        <v>953</v>
      </c>
      <c r="C461" t="s">
        <v>18</v>
      </c>
      <c r="D461">
        <v>124</v>
      </c>
      <c r="E461">
        <v>1.5</v>
      </c>
      <c r="F461" t="s">
        <v>31</v>
      </c>
      <c r="G461">
        <v>2014</v>
      </c>
      <c r="H461" t="s">
        <v>20</v>
      </c>
      <c r="I461" s="2">
        <v>44985</v>
      </c>
      <c r="J461" t="str">
        <f t="shared" si="42"/>
        <v>Long</v>
      </c>
      <c r="K461" t="str" cm="1">
        <f t="array" ref="K461">_xlfn.IFS(E461&lt;4, "Poor", E461&lt;7, "Average", E461&lt;9, "Good", TRUE, "Excellent")</f>
        <v>Poor</v>
      </c>
      <c r="L461" t="str">
        <f t="shared" si="43"/>
        <v>M1459 - Movie_459</v>
      </c>
      <c r="M461" t="str">
        <f t="shared" si="44"/>
        <v>Fre</v>
      </c>
      <c r="N461" t="str">
        <f t="shared" si="45"/>
        <v>14</v>
      </c>
      <c r="O461">
        <f t="shared" si="46"/>
        <v>9</v>
      </c>
      <c r="P461" t="str">
        <f t="shared" si="47"/>
        <v>Horror</v>
      </c>
    </row>
    <row r="462" spans="1:16">
      <c r="A462" t="s">
        <v>954</v>
      </c>
      <c r="B462" t="s">
        <v>955</v>
      </c>
      <c r="C462" t="s">
        <v>40</v>
      </c>
      <c r="D462">
        <v>142</v>
      </c>
      <c r="E462">
        <v>8.5</v>
      </c>
      <c r="F462" t="s">
        <v>28</v>
      </c>
      <c r="G462">
        <v>1983</v>
      </c>
      <c r="H462" t="s">
        <v>25</v>
      </c>
      <c r="I462" s="2">
        <v>45437</v>
      </c>
      <c r="J462" t="str">
        <f t="shared" si="42"/>
        <v>Long</v>
      </c>
      <c r="K462" t="str" cm="1">
        <f t="array" ref="K462">_xlfn.IFS(E462&lt;4, "Poor", E462&lt;7, "Average", E462&lt;9, "Good", TRUE, "Excellent")</f>
        <v>Good</v>
      </c>
      <c r="L462" t="str">
        <f t="shared" si="43"/>
        <v>M1460 - Movie_460</v>
      </c>
      <c r="M462" t="str">
        <f t="shared" si="44"/>
        <v>Spa</v>
      </c>
      <c r="N462" t="str">
        <f t="shared" si="45"/>
        <v>83</v>
      </c>
      <c r="O462">
        <f t="shared" si="46"/>
        <v>9</v>
      </c>
      <c r="P462" t="str">
        <f t="shared" si="47"/>
        <v>Comedy</v>
      </c>
    </row>
    <row r="463" spans="1:16">
      <c r="A463" t="s">
        <v>956</v>
      </c>
      <c r="B463" t="s">
        <v>957</v>
      </c>
      <c r="C463" t="s">
        <v>58</v>
      </c>
      <c r="D463">
        <v>89</v>
      </c>
      <c r="E463">
        <v>1.7</v>
      </c>
      <c r="F463" t="s">
        <v>19</v>
      </c>
      <c r="G463">
        <v>1984</v>
      </c>
      <c r="H463" t="s">
        <v>25</v>
      </c>
      <c r="I463" s="2">
        <v>44453</v>
      </c>
      <c r="J463" t="str">
        <f t="shared" si="42"/>
        <v>Short</v>
      </c>
      <c r="K463" t="str" cm="1">
        <f t="array" ref="K463">_xlfn.IFS(E463&lt;4, "Poor", E463&lt;7, "Average", E463&lt;9, "Good", TRUE, "Excellent")</f>
        <v>Poor</v>
      </c>
      <c r="L463" t="str">
        <f t="shared" si="43"/>
        <v>M1461 - Movie_461</v>
      </c>
      <c r="M463" t="str">
        <f t="shared" si="44"/>
        <v>Jap</v>
      </c>
      <c r="N463" t="str">
        <f t="shared" si="45"/>
        <v>84</v>
      </c>
      <c r="O463">
        <f t="shared" si="46"/>
        <v>9</v>
      </c>
      <c r="P463" t="str">
        <f t="shared" si="47"/>
        <v>Sci-Fi</v>
      </c>
    </row>
    <row r="464" spans="1:16">
      <c r="A464" t="s">
        <v>958</v>
      </c>
      <c r="B464" t="s">
        <v>959</v>
      </c>
      <c r="C464" t="s">
        <v>23</v>
      </c>
      <c r="D464">
        <v>163</v>
      </c>
      <c r="E464">
        <v>8.8000000000000007</v>
      </c>
      <c r="F464" t="s">
        <v>31</v>
      </c>
      <c r="G464">
        <v>2010</v>
      </c>
      <c r="H464" t="s">
        <v>20</v>
      </c>
      <c r="I464" s="2">
        <v>45345</v>
      </c>
      <c r="J464" t="str">
        <f t="shared" si="42"/>
        <v>Long</v>
      </c>
      <c r="K464" t="str" cm="1">
        <f t="array" ref="K464">_xlfn.IFS(E464&lt;4, "Poor", E464&lt;7, "Average", E464&lt;9, "Good", TRUE, "Excellent")</f>
        <v>Good</v>
      </c>
      <c r="L464" t="str">
        <f t="shared" si="43"/>
        <v>M1462 - Movie_462</v>
      </c>
      <c r="M464" t="str">
        <f t="shared" si="44"/>
        <v>Fre</v>
      </c>
      <c r="N464" t="str">
        <f t="shared" si="45"/>
        <v>10</v>
      </c>
      <c r="O464">
        <f t="shared" si="46"/>
        <v>9</v>
      </c>
      <c r="P464" t="str">
        <f t="shared" si="47"/>
        <v>Action</v>
      </c>
    </row>
    <row r="465" spans="1:16">
      <c r="A465" t="s">
        <v>960</v>
      </c>
      <c r="B465" t="s">
        <v>961</v>
      </c>
      <c r="C465" t="s">
        <v>34</v>
      </c>
      <c r="D465">
        <v>191</v>
      </c>
      <c r="E465">
        <v>8.6999999999999993</v>
      </c>
      <c r="F465" t="s">
        <v>24</v>
      </c>
      <c r="G465">
        <v>1982</v>
      </c>
      <c r="H465" t="s">
        <v>25</v>
      </c>
      <c r="I465" s="2">
        <v>45106</v>
      </c>
      <c r="J465" t="str">
        <f t="shared" si="42"/>
        <v>Long</v>
      </c>
      <c r="K465" t="str" cm="1">
        <f t="array" ref="K465">_xlfn.IFS(E465&lt;4, "Poor", E465&lt;7, "Average", E465&lt;9, "Good", TRUE, "Excellent")</f>
        <v>Good</v>
      </c>
      <c r="L465" t="str">
        <f t="shared" si="43"/>
        <v>M1463 - Movie_463</v>
      </c>
      <c r="M465" t="str">
        <f t="shared" si="44"/>
        <v>Hin</v>
      </c>
      <c r="N465" t="str">
        <f t="shared" si="45"/>
        <v>82</v>
      </c>
      <c r="O465">
        <f t="shared" si="46"/>
        <v>9</v>
      </c>
      <c r="P465" t="str">
        <f t="shared" si="47"/>
        <v>Drama</v>
      </c>
    </row>
    <row r="466" spans="1:16">
      <c r="A466" t="s">
        <v>962</v>
      </c>
      <c r="B466" t="s">
        <v>963</v>
      </c>
      <c r="C466" t="s">
        <v>58</v>
      </c>
      <c r="D466">
        <v>60</v>
      </c>
      <c r="E466">
        <v>6.5</v>
      </c>
      <c r="F466" t="s">
        <v>24</v>
      </c>
      <c r="G466">
        <v>1998</v>
      </c>
      <c r="H466" t="s">
        <v>20</v>
      </c>
      <c r="I466" s="2">
        <v>44327</v>
      </c>
      <c r="J466" t="str">
        <f t="shared" si="42"/>
        <v>Short</v>
      </c>
      <c r="K466" t="str" cm="1">
        <f t="array" ref="K466">_xlfn.IFS(E466&lt;4, "Poor", E466&lt;7, "Average", E466&lt;9, "Good", TRUE, "Excellent")</f>
        <v>Average</v>
      </c>
      <c r="L466" t="str">
        <f t="shared" si="43"/>
        <v>M1464 - Movie_464</v>
      </c>
      <c r="M466" t="str">
        <f t="shared" si="44"/>
        <v>Hin</v>
      </c>
      <c r="N466" t="str">
        <f t="shared" si="45"/>
        <v>98</v>
      </c>
      <c r="O466">
        <f t="shared" si="46"/>
        <v>9</v>
      </c>
      <c r="P466" t="str">
        <f t="shared" si="47"/>
        <v>Sci-Fi</v>
      </c>
    </row>
    <row r="467" spans="1:16">
      <c r="A467" t="s">
        <v>964</v>
      </c>
      <c r="B467" t="s">
        <v>965</v>
      </c>
      <c r="C467" t="s">
        <v>58</v>
      </c>
      <c r="D467">
        <v>198</v>
      </c>
      <c r="E467">
        <v>5.6</v>
      </c>
      <c r="F467" t="s">
        <v>35</v>
      </c>
      <c r="G467">
        <v>2006</v>
      </c>
      <c r="H467" t="s">
        <v>25</v>
      </c>
      <c r="I467" s="2">
        <v>44781</v>
      </c>
      <c r="J467" t="str">
        <f t="shared" si="42"/>
        <v>Long</v>
      </c>
      <c r="K467" t="str" cm="1">
        <f t="array" ref="K467">_xlfn.IFS(E467&lt;4, "Poor", E467&lt;7, "Average", E467&lt;9, "Good", TRUE, "Excellent")</f>
        <v>Average</v>
      </c>
      <c r="L467" t="str">
        <f t="shared" si="43"/>
        <v>M1465 - Movie_465</v>
      </c>
      <c r="M467" t="str">
        <f t="shared" si="44"/>
        <v>Eng</v>
      </c>
      <c r="N467" t="str">
        <f t="shared" si="45"/>
        <v>06</v>
      </c>
      <c r="O467">
        <f t="shared" si="46"/>
        <v>9</v>
      </c>
      <c r="P467" t="str">
        <f t="shared" si="47"/>
        <v>Sci-Fi</v>
      </c>
    </row>
    <row r="468" spans="1:16">
      <c r="A468" t="s">
        <v>966</v>
      </c>
      <c r="B468" t="s">
        <v>967</v>
      </c>
      <c r="C468" t="s">
        <v>40</v>
      </c>
      <c r="D468">
        <v>178</v>
      </c>
      <c r="E468">
        <v>5.2</v>
      </c>
      <c r="F468" t="s">
        <v>24</v>
      </c>
      <c r="G468">
        <v>1991</v>
      </c>
      <c r="H468" t="s">
        <v>20</v>
      </c>
      <c r="I468" s="2">
        <v>44585</v>
      </c>
      <c r="J468" t="str">
        <f t="shared" si="42"/>
        <v>Long</v>
      </c>
      <c r="K468" t="str" cm="1">
        <f t="array" ref="K468">_xlfn.IFS(E468&lt;4, "Poor", E468&lt;7, "Average", E468&lt;9, "Good", TRUE, "Excellent")</f>
        <v>Average</v>
      </c>
      <c r="L468" t="str">
        <f t="shared" si="43"/>
        <v>M1466 - Movie_466</v>
      </c>
      <c r="M468" t="str">
        <f t="shared" si="44"/>
        <v>Hin</v>
      </c>
      <c r="N468" t="str">
        <f t="shared" si="45"/>
        <v>91</v>
      </c>
      <c r="O468">
        <f t="shared" si="46"/>
        <v>9</v>
      </c>
      <c r="P468" t="str">
        <f t="shared" si="47"/>
        <v>Comedy</v>
      </c>
    </row>
    <row r="469" spans="1:16">
      <c r="A469" t="s">
        <v>968</v>
      </c>
      <c r="B469" t="s">
        <v>969</v>
      </c>
      <c r="C469" t="s">
        <v>67</v>
      </c>
      <c r="D469">
        <v>165</v>
      </c>
      <c r="E469">
        <v>6</v>
      </c>
      <c r="F469" t="s">
        <v>19</v>
      </c>
      <c r="G469">
        <v>1988</v>
      </c>
      <c r="H469" t="s">
        <v>20</v>
      </c>
      <c r="I469" s="2">
        <v>45042</v>
      </c>
      <c r="J469" t="str">
        <f t="shared" si="42"/>
        <v>Long</v>
      </c>
      <c r="K469" t="str" cm="1">
        <f t="array" ref="K469">_xlfn.IFS(E469&lt;4, "Poor", E469&lt;7, "Average", E469&lt;9, "Good", TRUE, "Excellent")</f>
        <v>Average</v>
      </c>
      <c r="L469" t="str">
        <f t="shared" si="43"/>
        <v>M1467 - Movie_467</v>
      </c>
      <c r="M469" t="str">
        <f t="shared" si="44"/>
        <v>Jap</v>
      </c>
      <c r="N469" t="str">
        <f t="shared" si="45"/>
        <v>88</v>
      </c>
      <c r="O469">
        <f t="shared" si="46"/>
        <v>9</v>
      </c>
      <c r="P469" t="str">
        <f>TRIM(C469)</f>
        <v>Thriller</v>
      </c>
    </row>
    <row r="470" spans="1:16">
      <c r="A470" t="s">
        <v>970</v>
      </c>
      <c r="B470" t="s">
        <v>971</v>
      </c>
      <c r="C470" t="s">
        <v>40</v>
      </c>
      <c r="D470">
        <v>73</v>
      </c>
      <c r="E470">
        <v>8.1</v>
      </c>
      <c r="F470" t="s">
        <v>28</v>
      </c>
      <c r="G470">
        <v>2021</v>
      </c>
      <c r="H470" t="s">
        <v>25</v>
      </c>
      <c r="I470" s="2">
        <v>44841</v>
      </c>
      <c r="J470" t="str">
        <f t="shared" si="42"/>
        <v>Short</v>
      </c>
      <c r="K470" t="str" cm="1">
        <f t="array" ref="K470">_xlfn.IFS(E470&lt;4, "Poor", E470&lt;7, "Average", E470&lt;9, "Good", TRUE, "Excellent")</f>
        <v>Good</v>
      </c>
      <c r="L470" t="str">
        <f t="shared" si="43"/>
        <v>M1468 - Movie_468</v>
      </c>
      <c r="M470" t="str">
        <f t="shared" si="44"/>
        <v>Spa</v>
      </c>
      <c r="N470" t="str">
        <f t="shared" si="45"/>
        <v>21</v>
      </c>
      <c r="O470">
        <f t="shared" si="46"/>
        <v>9</v>
      </c>
      <c r="P470" t="str">
        <f t="shared" ref="P470:P487" si="48">TRIM(C470)</f>
        <v>Comedy</v>
      </c>
    </row>
    <row r="471" spans="1:16">
      <c r="A471" t="s">
        <v>972</v>
      </c>
      <c r="B471" t="s">
        <v>973</v>
      </c>
      <c r="C471" t="s">
        <v>23</v>
      </c>
      <c r="D471">
        <v>108</v>
      </c>
      <c r="E471">
        <v>9.1</v>
      </c>
      <c r="F471" t="s">
        <v>24</v>
      </c>
      <c r="G471">
        <v>2021</v>
      </c>
      <c r="H471" t="s">
        <v>25</v>
      </c>
      <c r="I471" s="2">
        <v>45413</v>
      </c>
      <c r="J471" t="str">
        <f t="shared" si="42"/>
        <v>Short</v>
      </c>
      <c r="K471" t="str" cm="1">
        <f t="array" ref="K471">_xlfn.IFS(E471&lt;4, "Poor", E471&lt;7, "Average", E471&lt;9, "Good", TRUE, "Excellent")</f>
        <v>Excellent</v>
      </c>
      <c r="L471" t="str">
        <f t="shared" si="43"/>
        <v>M1469 - Movie_469</v>
      </c>
      <c r="M471" t="str">
        <f t="shared" si="44"/>
        <v>Hin</v>
      </c>
      <c r="N471" t="str">
        <f t="shared" si="45"/>
        <v>21</v>
      </c>
      <c r="O471">
        <f t="shared" si="46"/>
        <v>9</v>
      </c>
      <c r="P471" t="str">
        <f t="shared" si="48"/>
        <v>Action</v>
      </c>
    </row>
    <row r="472" spans="1:16">
      <c r="A472" t="s">
        <v>974</v>
      </c>
      <c r="B472" t="s">
        <v>975</v>
      </c>
      <c r="C472" t="s">
        <v>34</v>
      </c>
      <c r="D472">
        <v>192</v>
      </c>
      <c r="E472">
        <v>5</v>
      </c>
      <c r="F472" t="s">
        <v>24</v>
      </c>
      <c r="G472">
        <v>2006</v>
      </c>
      <c r="H472" t="s">
        <v>25</v>
      </c>
      <c r="I472" s="2">
        <v>45420</v>
      </c>
      <c r="J472" t="str">
        <f t="shared" si="42"/>
        <v>Long</v>
      </c>
      <c r="K472" t="str" cm="1">
        <f t="array" ref="K472">_xlfn.IFS(E472&lt;4, "Poor", E472&lt;7, "Average", E472&lt;9, "Good", TRUE, "Excellent")</f>
        <v>Average</v>
      </c>
      <c r="L472" t="str">
        <f t="shared" si="43"/>
        <v>M1470 - Movie_470</v>
      </c>
      <c r="M472" t="str">
        <f t="shared" si="44"/>
        <v>Hin</v>
      </c>
      <c r="N472" t="str">
        <f t="shared" si="45"/>
        <v>06</v>
      </c>
      <c r="O472">
        <f t="shared" si="46"/>
        <v>9</v>
      </c>
      <c r="P472" t="str">
        <f t="shared" si="48"/>
        <v>Drama</v>
      </c>
    </row>
    <row r="473" spans="1:16">
      <c r="A473" t="s">
        <v>976</v>
      </c>
      <c r="B473" t="s">
        <v>977</v>
      </c>
      <c r="C473" t="s">
        <v>34</v>
      </c>
      <c r="D473">
        <v>152</v>
      </c>
      <c r="E473">
        <v>8.3000000000000007</v>
      </c>
      <c r="F473" t="s">
        <v>28</v>
      </c>
      <c r="G473">
        <v>2003</v>
      </c>
      <c r="H473" t="s">
        <v>25</v>
      </c>
      <c r="I473" s="2">
        <v>44231</v>
      </c>
      <c r="J473" t="str">
        <f t="shared" si="42"/>
        <v>Long</v>
      </c>
      <c r="K473" t="str" cm="1">
        <f t="array" ref="K473">_xlfn.IFS(E473&lt;4, "Poor", E473&lt;7, "Average", E473&lt;9, "Good", TRUE, "Excellent")</f>
        <v>Good</v>
      </c>
      <c r="L473" t="str">
        <f t="shared" si="43"/>
        <v>M1471 - Movie_471</v>
      </c>
      <c r="M473" t="str">
        <f t="shared" si="44"/>
        <v>Spa</v>
      </c>
      <c r="N473" t="str">
        <f t="shared" si="45"/>
        <v>03</v>
      </c>
      <c r="O473">
        <f t="shared" si="46"/>
        <v>9</v>
      </c>
      <c r="P473" t="str">
        <f t="shared" si="48"/>
        <v>Drama</v>
      </c>
    </row>
    <row r="474" spans="1:16">
      <c r="A474" t="s">
        <v>978</v>
      </c>
      <c r="B474" t="s">
        <v>979</v>
      </c>
      <c r="C474" t="s">
        <v>23</v>
      </c>
      <c r="D474">
        <v>187</v>
      </c>
      <c r="E474">
        <v>6.9</v>
      </c>
      <c r="F474" t="s">
        <v>28</v>
      </c>
      <c r="G474">
        <v>2004</v>
      </c>
      <c r="H474" t="s">
        <v>25</v>
      </c>
      <c r="I474" s="2">
        <v>45331</v>
      </c>
      <c r="J474" t="str">
        <f t="shared" si="42"/>
        <v>Long</v>
      </c>
      <c r="K474" t="str" cm="1">
        <f t="array" ref="K474">_xlfn.IFS(E474&lt;4, "Poor", E474&lt;7, "Average", E474&lt;9, "Good", TRUE, "Excellent")</f>
        <v>Average</v>
      </c>
      <c r="L474" t="str">
        <f t="shared" si="43"/>
        <v>M1472 - Movie_472</v>
      </c>
      <c r="M474" t="str">
        <f t="shared" si="44"/>
        <v>Spa</v>
      </c>
      <c r="N474" t="str">
        <f t="shared" si="45"/>
        <v>04</v>
      </c>
      <c r="O474">
        <f t="shared" si="46"/>
        <v>9</v>
      </c>
      <c r="P474" t="str">
        <f t="shared" si="48"/>
        <v>Action</v>
      </c>
    </row>
    <row r="475" spans="1:16">
      <c r="A475" t="s">
        <v>980</v>
      </c>
      <c r="B475" t="s">
        <v>981</v>
      </c>
      <c r="C475" t="s">
        <v>34</v>
      </c>
      <c r="D475">
        <v>173</v>
      </c>
      <c r="E475">
        <v>3.9</v>
      </c>
      <c r="F475" t="s">
        <v>19</v>
      </c>
      <c r="G475">
        <v>2008</v>
      </c>
      <c r="H475" t="s">
        <v>25</v>
      </c>
      <c r="I475" s="2">
        <v>44950</v>
      </c>
      <c r="J475" t="str">
        <f t="shared" si="42"/>
        <v>Long</v>
      </c>
      <c r="K475" t="str" cm="1">
        <f t="array" ref="K475">_xlfn.IFS(E475&lt;4, "Poor", E475&lt;7, "Average", E475&lt;9, "Good", TRUE, "Excellent")</f>
        <v>Poor</v>
      </c>
      <c r="L475" t="str">
        <f t="shared" si="43"/>
        <v>M1473 - Movie_473</v>
      </c>
      <c r="M475" t="str">
        <f t="shared" si="44"/>
        <v>Jap</v>
      </c>
      <c r="N475" t="str">
        <f t="shared" si="45"/>
        <v>08</v>
      </c>
      <c r="O475">
        <f t="shared" si="46"/>
        <v>9</v>
      </c>
      <c r="P475" t="str">
        <f t="shared" si="48"/>
        <v>Drama</v>
      </c>
    </row>
    <row r="476" spans="1:16">
      <c r="A476" t="s">
        <v>982</v>
      </c>
      <c r="B476" t="s">
        <v>983</v>
      </c>
      <c r="C476" t="s">
        <v>40</v>
      </c>
      <c r="D476">
        <v>73</v>
      </c>
      <c r="E476">
        <v>5.3</v>
      </c>
      <c r="F476" t="s">
        <v>24</v>
      </c>
      <c r="G476">
        <v>2004</v>
      </c>
      <c r="H476" t="s">
        <v>25</v>
      </c>
      <c r="I476" s="2">
        <v>45388</v>
      </c>
      <c r="J476" t="str">
        <f t="shared" si="42"/>
        <v>Short</v>
      </c>
      <c r="K476" t="str" cm="1">
        <f t="array" ref="K476">_xlfn.IFS(E476&lt;4, "Poor", E476&lt;7, "Average", E476&lt;9, "Good", TRUE, "Excellent")</f>
        <v>Average</v>
      </c>
      <c r="L476" t="str">
        <f t="shared" si="43"/>
        <v>M1474 - Movie_474</v>
      </c>
      <c r="M476" t="str">
        <f t="shared" si="44"/>
        <v>Hin</v>
      </c>
      <c r="N476" t="str">
        <f t="shared" si="45"/>
        <v>04</v>
      </c>
      <c r="O476">
        <f t="shared" si="46"/>
        <v>9</v>
      </c>
      <c r="P476" t="str">
        <f t="shared" si="48"/>
        <v>Comedy</v>
      </c>
    </row>
    <row r="477" spans="1:16">
      <c r="A477" t="s">
        <v>984</v>
      </c>
      <c r="B477" t="s">
        <v>985</v>
      </c>
      <c r="C477" t="s">
        <v>18</v>
      </c>
      <c r="D477">
        <v>112</v>
      </c>
      <c r="E477">
        <v>2.4</v>
      </c>
      <c r="F477" t="s">
        <v>19</v>
      </c>
      <c r="G477">
        <v>2004</v>
      </c>
      <c r="H477" t="s">
        <v>20</v>
      </c>
      <c r="I477" s="2">
        <v>45461</v>
      </c>
      <c r="J477" t="str">
        <f t="shared" si="42"/>
        <v>Short</v>
      </c>
      <c r="K477" t="str" cm="1">
        <f t="array" ref="K477">_xlfn.IFS(E477&lt;4, "Poor", E477&lt;7, "Average", E477&lt;9, "Good", TRUE, "Excellent")</f>
        <v>Poor</v>
      </c>
      <c r="L477" t="str">
        <f t="shared" si="43"/>
        <v>M1475 - Movie_475</v>
      </c>
      <c r="M477" t="str">
        <f t="shared" si="44"/>
        <v>Jap</v>
      </c>
      <c r="N477" t="str">
        <f t="shared" si="45"/>
        <v>04</v>
      </c>
      <c r="O477">
        <f t="shared" si="46"/>
        <v>9</v>
      </c>
      <c r="P477" t="str">
        <f t="shared" si="48"/>
        <v>Horror</v>
      </c>
    </row>
    <row r="478" spans="1:16">
      <c r="A478" t="s">
        <v>986</v>
      </c>
      <c r="B478" t="s">
        <v>987</v>
      </c>
      <c r="C478" t="s">
        <v>40</v>
      </c>
      <c r="D478">
        <v>128</v>
      </c>
      <c r="E478">
        <v>1.6</v>
      </c>
      <c r="F478" t="s">
        <v>24</v>
      </c>
      <c r="G478">
        <v>1985</v>
      </c>
      <c r="H478" t="s">
        <v>20</v>
      </c>
      <c r="I478" s="2">
        <v>44333</v>
      </c>
      <c r="J478" t="str">
        <f t="shared" si="42"/>
        <v>Long</v>
      </c>
      <c r="K478" t="str" cm="1">
        <f t="array" ref="K478">_xlfn.IFS(E478&lt;4, "Poor", E478&lt;7, "Average", E478&lt;9, "Good", TRUE, "Excellent")</f>
        <v>Poor</v>
      </c>
      <c r="L478" t="str">
        <f t="shared" si="43"/>
        <v>M1476 - Movie_476</v>
      </c>
      <c r="M478" t="str">
        <f t="shared" si="44"/>
        <v>Hin</v>
      </c>
      <c r="N478" t="str">
        <f t="shared" si="45"/>
        <v>85</v>
      </c>
      <c r="O478">
        <f t="shared" si="46"/>
        <v>9</v>
      </c>
      <c r="P478" t="str">
        <f t="shared" si="48"/>
        <v>Comedy</v>
      </c>
    </row>
    <row r="479" spans="1:16">
      <c r="A479" t="s">
        <v>988</v>
      </c>
      <c r="B479" t="s">
        <v>989</v>
      </c>
      <c r="C479" t="s">
        <v>18</v>
      </c>
      <c r="D479">
        <v>200</v>
      </c>
      <c r="E479">
        <v>1.9</v>
      </c>
      <c r="F479" t="s">
        <v>31</v>
      </c>
      <c r="G479">
        <v>2023</v>
      </c>
      <c r="H479" t="s">
        <v>20</v>
      </c>
      <c r="I479" s="2">
        <v>44139</v>
      </c>
      <c r="J479" t="str">
        <f t="shared" si="42"/>
        <v>Long</v>
      </c>
      <c r="K479" t="str" cm="1">
        <f t="array" ref="K479">_xlfn.IFS(E479&lt;4, "Poor", E479&lt;7, "Average", E479&lt;9, "Good", TRUE, "Excellent")</f>
        <v>Poor</v>
      </c>
      <c r="L479" t="str">
        <f t="shared" si="43"/>
        <v>M1477 - Movie_477</v>
      </c>
      <c r="M479" t="str">
        <f t="shared" si="44"/>
        <v>Fre</v>
      </c>
      <c r="N479" t="str">
        <f t="shared" si="45"/>
        <v>23</v>
      </c>
      <c r="O479">
        <f t="shared" si="46"/>
        <v>9</v>
      </c>
      <c r="P479" t="str">
        <f t="shared" si="48"/>
        <v>Horror</v>
      </c>
    </row>
    <row r="480" spans="1:16">
      <c r="A480" t="s">
        <v>990</v>
      </c>
      <c r="B480" t="s">
        <v>991</v>
      </c>
      <c r="C480" t="s">
        <v>23</v>
      </c>
      <c r="D480">
        <v>93</v>
      </c>
      <c r="E480">
        <v>9.1</v>
      </c>
      <c r="F480" t="s">
        <v>24</v>
      </c>
      <c r="G480">
        <v>2022</v>
      </c>
      <c r="H480" t="s">
        <v>20</v>
      </c>
      <c r="I480" s="2">
        <v>43844</v>
      </c>
      <c r="J480" t="str">
        <f t="shared" si="42"/>
        <v>Short</v>
      </c>
      <c r="K480" t="str" cm="1">
        <f t="array" ref="K480">_xlfn.IFS(E480&lt;4, "Poor", E480&lt;7, "Average", E480&lt;9, "Good", TRUE, "Excellent")</f>
        <v>Excellent</v>
      </c>
      <c r="L480" t="str">
        <f t="shared" si="43"/>
        <v>M1478 - Movie_478</v>
      </c>
      <c r="M480" t="str">
        <f t="shared" si="44"/>
        <v>Hin</v>
      </c>
      <c r="N480" t="str">
        <f t="shared" si="45"/>
        <v>22</v>
      </c>
      <c r="O480">
        <f t="shared" si="46"/>
        <v>9</v>
      </c>
      <c r="P480" t="str">
        <f t="shared" si="48"/>
        <v>Action</v>
      </c>
    </row>
    <row r="481" spans="1:16">
      <c r="A481" t="s">
        <v>992</v>
      </c>
      <c r="B481" t="s">
        <v>993</v>
      </c>
      <c r="C481" t="s">
        <v>34</v>
      </c>
      <c r="D481">
        <v>133</v>
      </c>
      <c r="E481">
        <v>4.0999999999999996</v>
      </c>
      <c r="F481" t="s">
        <v>35</v>
      </c>
      <c r="G481">
        <v>2014</v>
      </c>
      <c r="H481" t="s">
        <v>25</v>
      </c>
      <c r="I481" s="2">
        <v>44670</v>
      </c>
      <c r="J481" t="str">
        <f t="shared" si="42"/>
        <v>Long</v>
      </c>
      <c r="K481" t="str" cm="1">
        <f t="array" ref="K481">_xlfn.IFS(E481&lt;4, "Poor", E481&lt;7, "Average", E481&lt;9, "Good", TRUE, "Excellent")</f>
        <v>Average</v>
      </c>
      <c r="L481" t="str">
        <f t="shared" si="43"/>
        <v>M1479 - Movie_479</v>
      </c>
      <c r="M481" t="str">
        <f t="shared" si="44"/>
        <v>Eng</v>
      </c>
      <c r="N481" t="str">
        <f t="shared" si="45"/>
        <v>14</v>
      </c>
      <c r="O481">
        <f t="shared" si="46"/>
        <v>9</v>
      </c>
      <c r="P481" t="str">
        <f t="shared" si="48"/>
        <v>Drama</v>
      </c>
    </row>
    <row r="482" spans="1:16">
      <c r="A482" t="s">
        <v>994</v>
      </c>
      <c r="B482" t="s">
        <v>995</v>
      </c>
      <c r="C482" t="s">
        <v>58</v>
      </c>
      <c r="D482">
        <v>172</v>
      </c>
      <c r="E482">
        <v>7.4</v>
      </c>
      <c r="F482" t="s">
        <v>35</v>
      </c>
      <c r="G482">
        <v>1988</v>
      </c>
      <c r="H482" t="s">
        <v>20</v>
      </c>
      <c r="I482" s="2">
        <v>43879</v>
      </c>
      <c r="J482" t="str">
        <f t="shared" si="42"/>
        <v>Long</v>
      </c>
      <c r="K482" t="str" cm="1">
        <f t="array" ref="K482">_xlfn.IFS(E482&lt;4, "Poor", E482&lt;7, "Average", E482&lt;9, "Good", TRUE, "Excellent")</f>
        <v>Good</v>
      </c>
      <c r="L482" t="str">
        <f t="shared" si="43"/>
        <v>M1480 - Movie_480</v>
      </c>
      <c r="M482" t="str">
        <f t="shared" si="44"/>
        <v>Eng</v>
      </c>
      <c r="N482" t="str">
        <f t="shared" si="45"/>
        <v>88</v>
      </c>
      <c r="O482">
        <f t="shared" si="46"/>
        <v>9</v>
      </c>
      <c r="P482" t="str">
        <f t="shared" si="48"/>
        <v>Sci-Fi</v>
      </c>
    </row>
    <row r="483" spans="1:16">
      <c r="A483" t="s">
        <v>996</v>
      </c>
      <c r="B483" t="s">
        <v>997</v>
      </c>
      <c r="C483" t="s">
        <v>67</v>
      </c>
      <c r="D483">
        <v>184</v>
      </c>
      <c r="E483">
        <v>5.5</v>
      </c>
      <c r="F483" t="s">
        <v>35</v>
      </c>
      <c r="G483">
        <v>2021</v>
      </c>
      <c r="H483" t="s">
        <v>25</v>
      </c>
      <c r="I483" s="2">
        <v>44308</v>
      </c>
      <c r="J483" t="str">
        <f t="shared" si="42"/>
        <v>Long</v>
      </c>
      <c r="K483" t="str" cm="1">
        <f t="array" ref="K483">_xlfn.IFS(E483&lt;4, "Poor", E483&lt;7, "Average", E483&lt;9, "Good", TRUE, "Excellent")</f>
        <v>Average</v>
      </c>
      <c r="L483" t="str">
        <f t="shared" si="43"/>
        <v>M1481 - Movie_481</v>
      </c>
      <c r="M483" t="str">
        <f t="shared" si="44"/>
        <v>Eng</v>
      </c>
      <c r="N483" t="str">
        <f t="shared" si="45"/>
        <v>21</v>
      </c>
      <c r="O483">
        <f t="shared" si="46"/>
        <v>9</v>
      </c>
      <c r="P483" t="str">
        <f t="shared" si="48"/>
        <v>Thriller</v>
      </c>
    </row>
    <row r="484" spans="1:16">
      <c r="A484" t="s">
        <v>998</v>
      </c>
      <c r="B484" t="s">
        <v>999</v>
      </c>
      <c r="C484" t="s">
        <v>58</v>
      </c>
      <c r="D484">
        <v>91</v>
      </c>
      <c r="E484">
        <v>2.6</v>
      </c>
      <c r="F484" t="s">
        <v>35</v>
      </c>
      <c r="G484">
        <v>2002</v>
      </c>
      <c r="H484" t="s">
        <v>20</v>
      </c>
      <c r="I484" s="2">
        <v>44940</v>
      </c>
      <c r="J484" t="str">
        <f t="shared" si="42"/>
        <v>Short</v>
      </c>
      <c r="K484" t="str" cm="1">
        <f t="array" ref="K484">_xlfn.IFS(E484&lt;4, "Poor", E484&lt;7, "Average", E484&lt;9, "Good", TRUE, "Excellent")</f>
        <v>Poor</v>
      </c>
      <c r="L484" t="str">
        <f t="shared" si="43"/>
        <v>M1482 - Movie_482</v>
      </c>
      <c r="M484" t="str">
        <f t="shared" si="44"/>
        <v>Eng</v>
      </c>
      <c r="N484" t="str">
        <f t="shared" si="45"/>
        <v>02</v>
      </c>
      <c r="O484">
        <f t="shared" si="46"/>
        <v>9</v>
      </c>
      <c r="P484" t="str">
        <f t="shared" si="48"/>
        <v>Sci-Fi</v>
      </c>
    </row>
    <row r="485" spans="1:16">
      <c r="A485" t="s">
        <v>1000</v>
      </c>
      <c r="B485" t="s">
        <v>1001</v>
      </c>
      <c r="C485" t="s">
        <v>18</v>
      </c>
      <c r="D485">
        <v>67</v>
      </c>
      <c r="E485">
        <v>3.2</v>
      </c>
      <c r="F485" t="s">
        <v>19</v>
      </c>
      <c r="G485">
        <v>1987</v>
      </c>
      <c r="H485" t="s">
        <v>25</v>
      </c>
      <c r="I485" s="2">
        <v>44540</v>
      </c>
      <c r="J485" t="str">
        <f t="shared" si="42"/>
        <v>Short</v>
      </c>
      <c r="K485" t="str" cm="1">
        <f t="array" ref="K485">_xlfn.IFS(E485&lt;4, "Poor", E485&lt;7, "Average", E485&lt;9, "Good", TRUE, "Excellent")</f>
        <v>Poor</v>
      </c>
      <c r="L485" t="str">
        <f t="shared" si="43"/>
        <v>M1483 - Movie_483</v>
      </c>
      <c r="M485" t="str">
        <f t="shared" si="44"/>
        <v>Jap</v>
      </c>
      <c r="N485" t="str">
        <f t="shared" si="45"/>
        <v>87</v>
      </c>
      <c r="O485">
        <f t="shared" si="46"/>
        <v>9</v>
      </c>
      <c r="P485" t="str">
        <f t="shared" si="48"/>
        <v>Horror</v>
      </c>
    </row>
    <row r="486" spans="1:16">
      <c r="A486" t="s">
        <v>1002</v>
      </c>
      <c r="B486" t="s">
        <v>1003</v>
      </c>
      <c r="C486" t="s">
        <v>40</v>
      </c>
      <c r="D486">
        <v>121</v>
      </c>
      <c r="E486">
        <v>4.9000000000000004</v>
      </c>
      <c r="F486" t="s">
        <v>24</v>
      </c>
      <c r="G486">
        <v>1991</v>
      </c>
      <c r="H486" t="s">
        <v>20</v>
      </c>
      <c r="I486" s="2">
        <v>45133</v>
      </c>
      <c r="J486" t="str">
        <f t="shared" si="42"/>
        <v>Long</v>
      </c>
      <c r="K486" t="str" cm="1">
        <f t="array" ref="K486">_xlfn.IFS(E486&lt;4, "Poor", E486&lt;7, "Average", E486&lt;9, "Good", TRUE, "Excellent")</f>
        <v>Average</v>
      </c>
      <c r="L486" t="str">
        <f t="shared" si="43"/>
        <v>M1484 - Movie_484</v>
      </c>
      <c r="M486" t="str">
        <f t="shared" si="44"/>
        <v>Hin</v>
      </c>
      <c r="N486" t="str">
        <f t="shared" si="45"/>
        <v>91</v>
      </c>
      <c r="O486">
        <f t="shared" si="46"/>
        <v>9</v>
      </c>
      <c r="P486" t="str">
        <f t="shared" si="48"/>
        <v>Comedy</v>
      </c>
    </row>
    <row r="487" spans="1:16">
      <c r="A487" t="s">
        <v>1004</v>
      </c>
      <c r="B487" t="s">
        <v>1005</v>
      </c>
      <c r="C487" t="s">
        <v>40</v>
      </c>
      <c r="D487">
        <v>100</v>
      </c>
      <c r="E487">
        <v>5</v>
      </c>
      <c r="F487" t="s">
        <v>31</v>
      </c>
      <c r="G487">
        <v>2014</v>
      </c>
      <c r="H487" t="s">
        <v>25</v>
      </c>
      <c r="I487" s="2">
        <v>45251</v>
      </c>
      <c r="J487" t="str">
        <f t="shared" si="42"/>
        <v>Short</v>
      </c>
      <c r="K487" t="str" cm="1">
        <f t="array" ref="K487">_xlfn.IFS(E487&lt;4, "Poor", E487&lt;7, "Average", E487&lt;9, "Good", TRUE, "Excellent")</f>
        <v>Average</v>
      </c>
      <c r="L487" t="str">
        <f t="shared" si="43"/>
        <v>M1485 - Movie_485</v>
      </c>
      <c r="M487" t="str">
        <f t="shared" si="44"/>
        <v>Fre</v>
      </c>
      <c r="N487" t="str">
        <f t="shared" si="45"/>
        <v>14</v>
      </c>
      <c r="O487">
        <f t="shared" si="46"/>
        <v>9</v>
      </c>
      <c r="P487" t="str">
        <f t="shared" si="48"/>
        <v>Comedy</v>
      </c>
    </row>
    <row r="488" spans="1:16">
      <c r="A488" t="s">
        <v>1006</v>
      </c>
      <c r="B488" t="s">
        <v>1007</v>
      </c>
      <c r="C488" t="s">
        <v>40</v>
      </c>
      <c r="D488">
        <v>139</v>
      </c>
      <c r="E488">
        <v>5.7</v>
      </c>
      <c r="F488" t="s">
        <v>19</v>
      </c>
      <c r="G488">
        <v>2005</v>
      </c>
      <c r="H488" t="s">
        <v>25</v>
      </c>
      <c r="I488" s="2">
        <v>43850</v>
      </c>
      <c r="J488" t="str">
        <f t="shared" si="42"/>
        <v>Long</v>
      </c>
      <c r="K488" t="str" cm="1">
        <f t="array" ref="K488">_xlfn.IFS(E488&lt;4, "Poor", E488&lt;7, "Average", E488&lt;9, "Good", TRUE, "Excellent")</f>
        <v>Average</v>
      </c>
      <c r="L488" t="str">
        <f t="shared" si="43"/>
        <v>M1486 - Movie_486</v>
      </c>
      <c r="M488" t="str">
        <f t="shared" si="44"/>
        <v>Jap</v>
      </c>
      <c r="N488" t="str">
        <f t="shared" si="45"/>
        <v>05</v>
      </c>
      <c r="O488">
        <f t="shared" si="46"/>
        <v>9</v>
      </c>
      <c r="P488" t="str">
        <f>TRIM(C488)</f>
        <v>Comedy</v>
      </c>
    </row>
    <row r="489" spans="1:16">
      <c r="A489" t="s">
        <v>1008</v>
      </c>
      <c r="B489" t="s">
        <v>1009</v>
      </c>
      <c r="C489" t="s">
        <v>40</v>
      </c>
      <c r="D489">
        <v>63</v>
      </c>
      <c r="E489">
        <v>2.4</v>
      </c>
      <c r="F489" t="s">
        <v>28</v>
      </c>
      <c r="G489">
        <v>2013</v>
      </c>
      <c r="H489" t="s">
        <v>20</v>
      </c>
      <c r="I489" s="2">
        <v>44517</v>
      </c>
      <c r="J489" t="str">
        <f t="shared" si="42"/>
        <v>Short</v>
      </c>
      <c r="K489" t="str" cm="1">
        <f t="array" ref="K489">_xlfn.IFS(E489&lt;4, "Poor", E489&lt;7, "Average", E489&lt;9, "Good", TRUE, "Excellent")</f>
        <v>Poor</v>
      </c>
      <c r="L489" t="str">
        <f t="shared" si="43"/>
        <v>M1487 - Movie_487</v>
      </c>
      <c r="M489" t="str">
        <f t="shared" si="44"/>
        <v>Spa</v>
      </c>
      <c r="N489" t="str">
        <f t="shared" si="45"/>
        <v>13</v>
      </c>
      <c r="O489">
        <f t="shared" si="46"/>
        <v>9</v>
      </c>
      <c r="P489" t="str">
        <f t="shared" ref="P489:P501" si="49">TRIM(C489)</f>
        <v>Comedy</v>
      </c>
    </row>
    <row r="490" spans="1:16">
      <c r="A490" t="s">
        <v>1010</v>
      </c>
      <c r="B490" t="s">
        <v>1011</v>
      </c>
      <c r="C490" t="s">
        <v>67</v>
      </c>
      <c r="D490">
        <v>164</v>
      </c>
      <c r="E490">
        <v>4.4000000000000004</v>
      </c>
      <c r="F490" t="s">
        <v>24</v>
      </c>
      <c r="G490">
        <v>1988</v>
      </c>
      <c r="H490" t="s">
        <v>20</v>
      </c>
      <c r="I490" s="2">
        <v>43833</v>
      </c>
      <c r="J490" t="str">
        <f t="shared" si="42"/>
        <v>Long</v>
      </c>
      <c r="K490" t="str" cm="1">
        <f t="array" ref="K490">_xlfn.IFS(E490&lt;4, "Poor", E490&lt;7, "Average", E490&lt;9, "Good", TRUE, "Excellent")</f>
        <v>Average</v>
      </c>
      <c r="L490" t="str">
        <f t="shared" si="43"/>
        <v>M1488 - Movie_488</v>
      </c>
      <c r="M490" t="str">
        <f t="shared" si="44"/>
        <v>Hin</v>
      </c>
      <c r="N490" t="str">
        <f t="shared" si="45"/>
        <v>88</v>
      </c>
      <c r="O490">
        <f t="shared" si="46"/>
        <v>9</v>
      </c>
      <c r="P490" t="str">
        <f t="shared" si="49"/>
        <v>Thriller</v>
      </c>
    </row>
    <row r="491" spans="1:16">
      <c r="A491" t="s">
        <v>1012</v>
      </c>
      <c r="B491" t="s">
        <v>1013</v>
      </c>
      <c r="C491" t="s">
        <v>23</v>
      </c>
      <c r="D491">
        <v>83</v>
      </c>
      <c r="E491">
        <v>3.5</v>
      </c>
      <c r="F491" t="s">
        <v>61</v>
      </c>
      <c r="G491">
        <v>1994</v>
      </c>
      <c r="H491" t="s">
        <v>25</v>
      </c>
      <c r="I491" s="2">
        <v>45385</v>
      </c>
      <c r="J491" t="str">
        <f t="shared" si="42"/>
        <v>Short</v>
      </c>
      <c r="K491" t="str" cm="1">
        <f t="array" ref="K491">_xlfn.IFS(E491&lt;4, "Poor", E491&lt;7, "Average", E491&lt;9, "Good", TRUE, "Excellent")</f>
        <v>Poor</v>
      </c>
      <c r="L491" t="str">
        <f t="shared" si="43"/>
        <v>M1489 - Movie_489</v>
      </c>
      <c r="M491" t="str">
        <f t="shared" si="44"/>
        <v>Ger</v>
      </c>
      <c r="N491" t="str">
        <f>RIGHT(G491,2)</f>
        <v>94</v>
      </c>
      <c r="O491">
        <f t="shared" si="46"/>
        <v>9</v>
      </c>
      <c r="P491" t="str">
        <f t="shared" si="49"/>
        <v>Action</v>
      </c>
    </row>
    <row r="492" spans="1:16">
      <c r="A492" t="s">
        <v>1014</v>
      </c>
      <c r="B492" t="s">
        <v>1015</v>
      </c>
      <c r="C492" t="s">
        <v>40</v>
      </c>
      <c r="D492">
        <v>117</v>
      </c>
      <c r="E492">
        <v>4.7</v>
      </c>
      <c r="F492" t="s">
        <v>24</v>
      </c>
      <c r="G492">
        <v>1980</v>
      </c>
      <c r="H492" t="s">
        <v>25</v>
      </c>
      <c r="I492" s="2">
        <v>45177</v>
      </c>
      <c r="J492" t="str">
        <f t="shared" si="42"/>
        <v>Short</v>
      </c>
      <c r="K492" t="str" cm="1">
        <f t="array" ref="K492">_xlfn.IFS(E492&lt;4, "Poor", E492&lt;7, "Average", E492&lt;9, "Good", TRUE, "Excellent")</f>
        <v>Average</v>
      </c>
      <c r="L492" t="str">
        <f t="shared" si="43"/>
        <v>M1490 - Movie_490</v>
      </c>
      <c r="M492" t="str">
        <f>LEFT(F492,3)</f>
        <v>Hin</v>
      </c>
      <c r="N492" t="str">
        <f t="shared" ref="N492:N501" si="50">RIGHT(G492,2)</f>
        <v>80</v>
      </c>
      <c r="O492">
        <f>LEN(B492)</f>
        <v>9</v>
      </c>
      <c r="P492" t="str">
        <f t="shared" si="49"/>
        <v>Comedy</v>
      </c>
    </row>
    <row r="493" spans="1:16">
      <c r="A493" t="s">
        <v>1016</v>
      </c>
      <c r="B493" t="s">
        <v>1017</v>
      </c>
      <c r="C493" t="s">
        <v>18</v>
      </c>
      <c r="D493">
        <v>89</v>
      </c>
      <c r="E493">
        <v>4</v>
      </c>
      <c r="F493" t="s">
        <v>19</v>
      </c>
      <c r="G493">
        <v>1981</v>
      </c>
      <c r="H493" t="s">
        <v>20</v>
      </c>
      <c r="I493" s="2">
        <v>44601</v>
      </c>
      <c r="J493" t="str">
        <f t="shared" si="42"/>
        <v>Short</v>
      </c>
      <c r="K493" t="str" cm="1">
        <f t="array" ref="K493">_xlfn.IFS(E493&lt;4, "Poor", E493&lt;7, "Average", E493&lt;9, "Good", TRUE, "Excellent")</f>
        <v>Average</v>
      </c>
      <c r="L493" t="str">
        <f t="shared" si="43"/>
        <v>M1491 - Movie_491</v>
      </c>
      <c r="M493" t="str">
        <f t="shared" ref="M493:M501" si="51">LEFT(F493,3)</f>
        <v>Jap</v>
      </c>
      <c r="N493" t="str">
        <f t="shared" si="50"/>
        <v>81</v>
      </c>
      <c r="O493">
        <f t="shared" ref="O493:O501" si="52">LEN(B493)</f>
        <v>9</v>
      </c>
      <c r="P493" t="str">
        <f t="shared" si="49"/>
        <v>Horror</v>
      </c>
    </row>
    <row r="494" spans="1:16">
      <c r="A494" t="s">
        <v>1018</v>
      </c>
      <c r="B494" t="s">
        <v>1019</v>
      </c>
      <c r="C494" t="s">
        <v>34</v>
      </c>
      <c r="D494">
        <v>178</v>
      </c>
      <c r="E494">
        <v>6.4</v>
      </c>
      <c r="F494" t="s">
        <v>35</v>
      </c>
      <c r="G494">
        <v>1999</v>
      </c>
      <c r="H494" t="s">
        <v>25</v>
      </c>
      <c r="I494" s="2">
        <v>45342</v>
      </c>
      <c r="J494" t="str">
        <f t="shared" si="42"/>
        <v>Long</v>
      </c>
      <c r="K494" t="str" cm="1">
        <f t="array" ref="K494">_xlfn.IFS(E494&lt;4, "Poor", E494&lt;7, "Average", E494&lt;9, "Good", TRUE, "Excellent")</f>
        <v>Average</v>
      </c>
      <c r="L494" t="str">
        <f t="shared" si="43"/>
        <v>M1492 - Movie_492</v>
      </c>
      <c r="M494" t="str">
        <f t="shared" si="51"/>
        <v>Eng</v>
      </c>
      <c r="N494" t="str">
        <f t="shared" si="50"/>
        <v>99</v>
      </c>
      <c r="O494">
        <f t="shared" si="52"/>
        <v>9</v>
      </c>
      <c r="P494" t="str">
        <f t="shared" si="49"/>
        <v>Drama</v>
      </c>
    </row>
    <row r="495" spans="1:16">
      <c r="A495" t="s">
        <v>1020</v>
      </c>
      <c r="B495" t="s">
        <v>1021</v>
      </c>
      <c r="C495" t="s">
        <v>67</v>
      </c>
      <c r="D495">
        <v>90</v>
      </c>
      <c r="E495">
        <v>8.1</v>
      </c>
      <c r="F495" t="s">
        <v>61</v>
      </c>
      <c r="G495">
        <v>2009</v>
      </c>
      <c r="H495" t="s">
        <v>20</v>
      </c>
      <c r="I495" s="2">
        <v>45320</v>
      </c>
      <c r="J495" t="str">
        <f t="shared" si="42"/>
        <v>Short</v>
      </c>
      <c r="K495" t="str" cm="1">
        <f t="array" ref="K495">_xlfn.IFS(E495&lt;4, "Poor", E495&lt;7, "Average", E495&lt;9, "Good", TRUE, "Excellent")</f>
        <v>Good</v>
      </c>
      <c r="L495" t="str">
        <f t="shared" si="43"/>
        <v>M1493 - Movie_493</v>
      </c>
      <c r="M495" t="str">
        <f t="shared" si="51"/>
        <v>Ger</v>
      </c>
      <c r="N495" t="str">
        <f t="shared" si="50"/>
        <v>09</v>
      </c>
      <c r="O495">
        <f t="shared" si="52"/>
        <v>9</v>
      </c>
      <c r="P495" t="str">
        <f t="shared" si="49"/>
        <v>Thriller</v>
      </c>
    </row>
    <row r="496" spans="1:16">
      <c r="A496" t="s">
        <v>1022</v>
      </c>
      <c r="B496" t="s">
        <v>1023</v>
      </c>
      <c r="C496" t="s">
        <v>18</v>
      </c>
      <c r="D496">
        <v>99</v>
      </c>
      <c r="E496">
        <v>6.8</v>
      </c>
      <c r="F496" t="s">
        <v>19</v>
      </c>
      <c r="G496">
        <v>2023</v>
      </c>
      <c r="H496" t="s">
        <v>25</v>
      </c>
      <c r="I496" s="2">
        <v>44460</v>
      </c>
      <c r="J496" t="str">
        <f t="shared" si="42"/>
        <v>Short</v>
      </c>
      <c r="K496" t="str" cm="1">
        <f t="array" ref="K496">_xlfn.IFS(E496&lt;4, "Poor", E496&lt;7, "Average", E496&lt;9, "Good", TRUE, "Excellent")</f>
        <v>Average</v>
      </c>
      <c r="L496" t="str">
        <f t="shared" si="43"/>
        <v>M1494 - Movie_494</v>
      </c>
      <c r="M496" t="str">
        <f t="shared" si="51"/>
        <v>Jap</v>
      </c>
      <c r="N496" t="str">
        <f t="shared" si="50"/>
        <v>23</v>
      </c>
      <c r="O496">
        <f t="shared" si="52"/>
        <v>9</v>
      </c>
      <c r="P496" t="str">
        <f t="shared" si="49"/>
        <v>Horror</v>
      </c>
    </row>
    <row r="497" spans="1:16">
      <c r="A497" t="s">
        <v>1024</v>
      </c>
      <c r="B497" t="s">
        <v>1025</v>
      </c>
      <c r="C497" t="s">
        <v>18</v>
      </c>
      <c r="D497">
        <v>187</v>
      </c>
      <c r="E497">
        <v>1.6</v>
      </c>
      <c r="F497" t="s">
        <v>24</v>
      </c>
      <c r="G497">
        <v>2014</v>
      </c>
      <c r="H497" t="s">
        <v>20</v>
      </c>
      <c r="I497" s="2">
        <v>44043</v>
      </c>
      <c r="J497" t="str">
        <f t="shared" si="42"/>
        <v>Long</v>
      </c>
      <c r="K497" t="str" cm="1">
        <f t="array" ref="K497">_xlfn.IFS(E497&lt;4, "Poor", E497&lt;7, "Average", E497&lt;9, "Good", TRUE, "Excellent")</f>
        <v>Poor</v>
      </c>
      <c r="L497" t="str">
        <f t="shared" si="43"/>
        <v>M1495 - Movie_495</v>
      </c>
      <c r="M497" t="str">
        <f t="shared" si="51"/>
        <v>Hin</v>
      </c>
      <c r="N497" t="str">
        <f t="shared" si="50"/>
        <v>14</v>
      </c>
      <c r="O497">
        <f t="shared" si="52"/>
        <v>9</v>
      </c>
      <c r="P497" t="str">
        <f t="shared" si="49"/>
        <v>Horror</v>
      </c>
    </row>
    <row r="498" spans="1:16">
      <c r="A498" t="s">
        <v>1026</v>
      </c>
      <c r="B498" t="s">
        <v>1027</v>
      </c>
      <c r="C498" t="s">
        <v>40</v>
      </c>
      <c r="D498">
        <v>134</v>
      </c>
      <c r="E498">
        <v>1.9</v>
      </c>
      <c r="F498" t="s">
        <v>31</v>
      </c>
      <c r="G498">
        <v>2007</v>
      </c>
      <c r="H498" t="s">
        <v>20</v>
      </c>
      <c r="I498" s="2">
        <v>44251</v>
      </c>
      <c r="J498" t="str">
        <f t="shared" si="42"/>
        <v>Long</v>
      </c>
      <c r="K498" t="str" cm="1">
        <f t="array" ref="K498">_xlfn.IFS(E498&lt;4, "Poor", E498&lt;7, "Average", E498&lt;9, "Good", TRUE, "Excellent")</f>
        <v>Poor</v>
      </c>
      <c r="L498" t="str">
        <f t="shared" si="43"/>
        <v>M1496 - Movie_496</v>
      </c>
      <c r="M498" t="str">
        <f t="shared" si="51"/>
        <v>Fre</v>
      </c>
      <c r="N498" t="str">
        <f t="shared" si="50"/>
        <v>07</v>
      </c>
      <c r="O498">
        <f t="shared" si="52"/>
        <v>9</v>
      </c>
      <c r="P498" t="str">
        <f t="shared" si="49"/>
        <v>Comedy</v>
      </c>
    </row>
    <row r="499" spans="1:16">
      <c r="A499" t="s">
        <v>1028</v>
      </c>
      <c r="B499" t="s">
        <v>1029</v>
      </c>
      <c r="C499" t="s">
        <v>34</v>
      </c>
      <c r="D499">
        <v>190</v>
      </c>
      <c r="E499">
        <v>7.1</v>
      </c>
      <c r="F499" t="s">
        <v>19</v>
      </c>
      <c r="G499">
        <v>2014</v>
      </c>
      <c r="H499" t="s">
        <v>25</v>
      </c>
      <c r="I499" s="2">
        <v>44916</v>
      </c>
      <c r="J499" t="str">
        <f t="shared" si="42"/>
        <v>Long</v>
      </c>
      <c r="K499" t="str" cm="1">
        <f t="array" ref="K499">_xlfn.IFS(E499&lt;4, "Poor", E499&lt;7, "Average", E499&lt;9, "Good", TRUE, "Excellent")</f>
        <v>Good</v>
      </c>
      <c r="L499" t="str">
        <f t="shared" si="43"/>
        <v>M1497 - Movie_497</v>
      </c>
      <c r="M499" t="str">
        <f t="shared" si="51"/>
        <v>Jap</v>
      </c>
      <c r="N499" t="str">
        <f t="shared" si="50"/>
        <v>14</v>
      </c>
      <c r="O499">
        <f t="shared" si="52"/>
        <v>9</v>
      </c>
      <c r="P499" t="str">
        <f t="shared" si="49"/>
        <v>Drama</v>
      </c>
    </row>
    <row r="500" spans="1:16">
      <c r="A500" t="s">
        <v>1030</v>
      </c>
      <c r="B500" t="s">
        <v>1031</v>
      </c>
      <c r="C500" t="s">
        <v>40</v>
      </c>
      <c r="D500">
        <v>129</v>
      </c>
      <c r="E500">
        <v>3.6</v>
      </c>
      <c r="F500" t="s">
        <v>31</v>
      </c>
      <c r="G500">
        <v>2004</v>
      </c>
      <c r="H500" t="s">
        <v>20</v>
      </c>
      <c r="I500" s="2">
        <v>44318</v>
      </c>
      <c r="J500" t="str">
        <f t="shared" si="42"/>
        <v>Long</v>
      </c>
      <c r="K500" t="str" cm="1">
        <f t="array" ref="K500">_xlfn.IFS(E500&lt;4, "Poor", E500&lt;7, "Average", E500&lt;9, "Good", TRUE, "Excellent")</f>
        <v>Poor</v>
      </c>
      <c r="L500" t="str">
        <f t="shared" si="43"/>
        <v>M1498 - Movie_498</v>
      </c>
      <c r="M500" t="str">
        <f t="shared" si="51"/>
        <v>Fre</v>
      </c>
      <c r="N500" t="str">
        <f t="shared" si="50"/>
        <v>04</v>
      </c>
      <c r="O500">
        <f t="shared" si="52"/>
        <v>9</v>
      </c>
      <c r="P500" t="str">
        <f t="shared" si="49"/>
        <v>Comedy</v>
      </c>
    </row>
    <row r="501" spans="1:16">
      <c r="A501" t="s">
        <v>1032</v>
      </c>
      <c r="B501" t="s">
        <v>1033</v>
      </c>
      <c r="C501" t="s">
        <v>18</v>
      </c>
      <c r="D501">
        <v>166</v>
      </c>
      <c r="E501">
        <v>7.5</v>
      </c>
      <c r="F501" t="s">
        <v>61</v>
      </c>
      <c r="G501">
        <v>1994</v>
      </c>
      <c r="H501" t="s">
        <v>25</v>
      </c>
      <c r="I501" s="2">
        <v>44690</v>
      </c>
      <c r="J501" t="str">
        <f t="shared" si="42"/>
        <v>Long</v>
      </c>
      <c r="K501" t="str" cm="1">
        <f t="array" ref="K501">_xlfn.IFS(E501&lt;4, "Poor", E501&lt;7, "Average", E501&lt;9, "Good", TRUE, "Excellent")</f>
        <v>Good</v>
      </c>
      <c r="L501" t="str">
        <f t="shared" si="43"/>
        <v>M1499 - Movie_499</v>
      </c>
      <c r="M501" t="str">
        <f t="shared" si="51"/>
        <v>Ger</v>
      </c>
      <c r="N501" t="str">
        <f t="shared" si="50"/>
        <v>94</v>
      </c>
      <c r="O501">
        <f t="shared" si="52"/>
        <v>9</v>
      </c>
      <c r="P501" t="str">
        <f t="shared" si="49"/>
        <v>Horror</v>
      </c>
    </row>
    <row r="504" spans="1:16" ht="30.75">
      <c r="D504" s="3" t="str">
        <f>"Total Duration="&amp;SUM(D2:D501)</f>
        <v>Total Duration=66452</v>
      </c>
      <c r="E504" s="3" t="str">
        <f>"Average of movie rating="&amp;AVERAGE(E2:E501)</f>
        <v>Average of movie rating=5.5434</v>
      </c>
      <c r="I504" s="6">
        <f ca="1">NOW()</f>
        <v>45944.607962152775</v>
      </c>
    </row>
    <row r="506" spans="1:16">
      <c r="D506" t="str">
        <f>"Shortest Movie="&amp;MIN(D2:D501)</f>
        <v>Shortest Movie=60</v>
      </c>
      <c r="E506" t="str">
        <f>"Round 1st movie rating="&amp;ROUND(E2, 0)</f>
        <v>Round 1st movie rating=9</v>
      </c>
    </row>
    <row r="508" spans="1:16">
      <c r="D508" t="str">
        <f>"Longest Movie="&amp;MAX(D2:D501)</f>
        <v>Longest Movie=200</v>
      </c>
    </row>
    <row r="510" spans="1:16">
      <c r="D510" t="str">
        <f>"Count="&amp;COUNT(D2:D501)</f>
        <v>Count=500</v>
      </c>
    </row>
    <row r="512" spans="1:16">
      <c r="D512" t="str">
        <f>"Roundup 1st Duration="&amp;ROUNDUP(D2,0)</f>
        <v>Roundup 1st Duration=87</v>
      </c>
    </row>
    <row r="514" spans="4:4">
      <c r="D514" t="str">
        <f>"Roundown 1st Duration="&amp;ROUNDDOWN(D2,0)</f>
        <v>Roundown 1st Duration=87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2025-09-30T05:26:54Z</dcterms:created>
  <dcterms:modified xsi:type="dcterms:W3CDTF">2025-10-14T09:05:48Z</dcterms:modified>
  <cp:category/>
  <cp:contentStatus/>
</cp:coreProperties>
</file>